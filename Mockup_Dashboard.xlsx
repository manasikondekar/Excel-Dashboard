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Pricing_Analysis" sheetId="3" state="visible" r:id="rId5"/>
    <sheet name="Business_Case" sheetId="4" state="visible" r:id="rId6"/>
    <sheet name="Planning_Forecast" sheetId="5" state="visible" r:id="rId7"/>
    <sheet name="Action_Tracker" sheetId="6" state="visible" r:id="rId8"/>
    <sheet name="BI_Requirements" sheetId="7" state="visible" r:id="rId9"/>
    <sheet name="Monthly_Data" sheetId="8" state="visible" r:id="rId10"/>
    <sheet name="Calc_Engine" sheetId="9" state="hidden" r:id="rId11"/>
  </sheets>
  <definedNames>
    <definedName function="false" hidden="false" localSheetId="1" name="_xlnm.Print_Area" vbProcedure="false">Dashboard!$A$1:$L$82</definedName>
    <definedName function="false" hidden="false" localSheetId="0" name="_xlnm.Print_Area" vbProcedure="false">README!$A$1:$B$26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<sst xmlns="http://schemas.openxmlformats.org/spreadsheetml/2006/main" count="772" uniqueCount="273">
  <si>
    <t xml:space="preserve">YPOG — Controlling Dashboard</t>
  </si>
  <si>
    <t xml:space="preserve">Business partnering, pricing, planning and reporting overview — figures in EUR</t>
  </si>
  <si>
    <t xml:space="preserve">ABOUT THE DATA</t>
  </si>
  <si>
    <t xml:space="preserve">All figures in this workbook (hours, revenue, costs, FTE, names) are illustrative sample data.</t>
  </si>
  <si>
    <t xml:space="preserve">They do not represent actual YPOG data.</t>
  </si>
  <si>
    <t xml:space="preserve">CONTENTS</t>
  </si>
  <si>
    <t xml:space="preserve">•  Dashboard — revenue, profitability, utilization, realization, rates and unbilled services; filters for year and practice area</t>
  </si>
  <si>
    <t xml:space="preserve">•  Pricing_Analysis — list rate vs. realized rate, write-offs, unbilled services and a what-if pricing scenario</t>
  </si>
  <si>
    <t xml:space="preserve">•  Business_Case — investment case for a new tech product: NPV, IRR, ROI, payback, scenarios and sensitivity table</t>
  </si>
  <si>
    <t xml:space="preserve">•  Planning_Forecast — FY2026 budget vs. actual/forecast, full-year outlook and cumulative view</t>
  </si>
  <si>
    <t xml:space="preserve">•  Action_Tracker — findings translated into options for action, owners, status and expected impact</t>
  </si>
  <si>
    <t xml:space="preserve">•  BI_Requirements — specification example for Power BI dashboards (KPI definitions, sources, refresh, audience)</t>
  </si>
  <si>
    <t xml:space="preserve">•  Monthly_Data — monthly fact data by practice area (actuals through September 2026, forecast October–December)</t>
  </si>
  <si>
    <t xml:space="preserve">KEY DEFINITIONS</t>
  </si>
  <si>
    <t xml:space="preserve">•  Utilization — billable hours / available hours</t>
  </si>
  <si>
    <t xml:space="preserve">•  Realization — invoiced hours / billable hours (the remainder is written off)</t>
  </si>
  <si>
    <t xml:space="preserve">•  Realized rate — revenue / invoiced hours;  rate realization = realized rate / list rate</t>
  </si>
  <si>
    <t xml:space="preserve">•  Unbilled services (WIP) — value of recorded but not yet invoiced time at month-end</t>
  </si>
  <si>
    <t xml:space="preserve">•  Profit — revenue less personnel cost and other cost (simplified view)</t>
  </si>
  <si>
    <t xml:space="preserve">YPOG  —  CONTROLLING DASHBOARD</t>
  </si>
  <si>
    <t xml:space="preserve">Business partnering, pricing and planning overview  |  Illustrative sample data (EUR)</t>
  </si>
  <si>
    <t xml:space="preserve">Year:</t>
  </si>
  <si>
    <t xml:space="preserve">Practice area:</t>
  </si>
  <si>
    <t xml:space="preserve">All</t>
  </si>
  <si>
    <t xml:space="preserve">← filters</t>
  </si>
  <si>
    <t xml:space="preserve">REVENUE</t>
  </si>
  <si>
    <t xml:space="preserve">VS. BUDGET</t>
  </si>
  <si>
    <t xml:space="preserve">PROFIT</t>
  </si>
  <si>
    <t xml:space="preserve">PROFIT MARGIN</t>
  </si>
  <si>
    <t xml:space="preserve">UTILIZATION</t>
  </si>
  <si>
    <t xml:space="preserve">REALIZATION</t>
  </si>
  <si>
    <t xml:space="preserve">REALIZED RATE</t>
  </si>
  <si>
    <t xml:space="preserve">AVG FTE</t>
  </si>
  <si>
    <t xml:space="preserve">REVENUE PER FTE</t>
  </si>
  <si>
    <t xml:space="preserve">UNBILLED WIP</t>
  </si>
  <si>
    <t xml:space="preserve">WHERE EACH REVENUE EURO GOES (selected filters)</t>
  </si>
  <si>
    <t xml:space="preserve">PRICING HEALTH</t>
  </si>
  <si>
    <t xml:space="preserve">Monthly Revenue — Actual, Forecast vs. Budget</t>
  </si>
  <si>
    <t xml:space="preserve">Utilization &amp; Realization by Month</t>
  </si>
  <si>
    <t xml:space="preserve">Cost Structure</t>
  </si>
  <si>
    <t xml:space="preserve">Pricing Matrix — Utilization vs. Realized Rate (bubble = revenue)</t>
  </si>
  <si>
    <t xml:space="preserve">Profit Margin by Practice Area (selected year)</t>
  </si>
  <si>
    <t xml:space="preserve">Revenue Leakage: List Value to Realized Revenue</t>
  </si>
  <si>
    <t xml:space="preserve">PRICING, RATES &amp; UNBILLED SERVICES  —  BY PRACTICE AREA</t>
  </si>
  <si>
    <t xml:space="preserve">RATE CARD &amp; REALIZATION</t>
  </si>
  <si>
    <t xml:space="preserve">Practice Area</t>
  </si>
  <si>
    <t xml:space="preserve">List Rate (EUR/h)</t>
  </si>
  <si>
    <t xml:space="preserve">Billable Hours</t>
  </si>
  <si>
    <t xml:space="preserve">Invoiced Hours</t>
  </si>
  <si>
    <t xml:space="preserve">Realization %</t>
  </si>
  <si>
    <t xml:space="preserve">Revenue</t>
  </si>
  <si>
    <t xml:space="preserve">Realized Rate (EUR/h)</t>
  </si>
  <si>
    <t xml:space="preserve">Rate Realization %</t>
  </si>
  <si>
    <t xml:space="preserve">Write-off Hours</t>
  </si>
  <si>
    <t xml:space="preserve">Write-off Value</t>
  </si>
  <si>
    <t xml:space="preserve">Profit</t>
  </si>
  <si>
    <t xml:space="preserve">Profit Margin %</t>
  </si>
  <si>
    <t xml:space="preserve">Latest WIP</t>
  </si>
  <si>
    <t xml:space="preserve">Scenario Revenue</t>
  </si>
  <si>
    <t xml:space="preserve">Δ Revenue</t>
  </si>
  <si>
    <t xml:space="preserve">Private Equity &amp; VC</t>
  </si>
  <si>
    <t xml:space="preserve">Funds &amp; Asset Mgmt</t>
  </si>
  <si>
    <t xml:space="preserve">Tax</t>
  </si>
  <si>
    <t xml:space="preserve">M&amp;A / Transactions</t>
  </si>
  <si>
    <t xml:space="preserve">Regulatory &amp; Fin. Services</t>
  </si>
  <si>
    <t xml:space="preserve">Tech &amp; Data</t>
  </si>
  <si>
    <t xml:space="preserve">Total / weighted</t>
  </si>
  <si>
    <t xml:space="preserve">WHAT-IF: PRICING SCENARIO</t>
  </si>
  <si>
    <t xml:space="preserve">Rate card uplift</t>
  </si>
  <si>
    <t xml:space="preserve">Scenario logic: scenario revenue = billable hours × (realization + improvement) × list rate × (1 + uplift) × current rate realization.</t>
  </si>
  <si>
    <t xml:space="preserve">Realization improvement (percentage points)</t>
  </si>
  <si>
    <t xml:space="preserve">Variable cost share of additional revenue</t>
  </si>
  <si>
    <t xml:space="preserve">Additional revenue (scenario)</t>
  </si>
  <si>
    <t xml:space="preserve">Additional profit (scenario)</t>
  </si>
  <si>
    <t xml:space="preserve">Scenario revenue vs. current</t>
  </si>
  <si>
    <t xml:space="preserve">BUSINESS CASE  —  NEW TECH PRODUCT (investment, ROI, NPV)</t>
  </si>
  <si>
    <t xml:space="preserve">ASSUMPTIONS</t>
  </si>
  <si>
    <t xml:space="preserve">Initial investment (year 0)</t>
  </si>
  <si>
    <t xml:space="preserve">Scenario</t>
  </si>
  <si>
    <t xml:space="preserve">Revenue factor</t>
  </si>
  <si>
    <t xml:space="preserve">Annual running cost (from year 1)</t>
  </si>
  <si>
    <t xml:space="preserve">Conservative</t>
  </si>
  <si>
    <t xml:space="preserve">Discount rate</t>
  </si>
  <si>
    <t xml:space="preserve">Base</t>
  </si>
  <si>
    <t xml:space="preserve">Optimistic</t>
  </si>
  <si>
    <t xml:space="preserve">Revenue multiplier (from scenario)</t>
  </si>
  <si>
    <t xml:space="preserve">EUR</t>
  </si>
  <si>
    <t xml:space="preserve">Base-case revenue</t>
  </si>
  <si>
    <t xml:space="preserve">Scenario revenue</t>
  </si>
  <si>
    <t xml:space="preserve">Running cost</t>
  </si>
  <si>
    <t xml:space="preserve">Investment</t>
  </si>
  <si>
    <t xml:space="preserve">Net cash flow</t>
  </si>
  <si>
    <t xml:space="preserve">Cumulative cash flow</t>
  </si>
  <si>
    <t xml:space="preserve">Discount factor</t>
  </si>
  <si>
    <t xml:space="preserve">Present value</t>
  </si>
  <si>
    <t xml:space="preserve">Cumulative present value</t>
  </si>
  <si>
    <t xml:space="preserve">Payback helper</t>
  </si>
  <si>
    <t xml:space="preserve">RESULTS</t>
  </si>
  <si>
    <t xml:space="preserve">Net present value (NPV)</t>
  </si>
  <si>
    <t xml:space="preserve">Internal rate of return (IRR)</t>
  </si>
  <si>
    <t xml:space="preserve">ROI (5-year net cash / investment)</t>
  </si>
  <si>
    <t xml:space="preserve">Payback period (years)</t>
  </si>
  <si>
    <t xml:space="preserve">SENSITIVITY — NPV by revenue factor (rows) and discount rate (columns)</t>
  </si>
  <si>
    <t xml:space="preserve">Revenue factor \ Discount rate</t>
  </si>
  <si>
    <t xml:space="preserve">FY2026 PLANNING &amp; FORECAST  —  BUDGET VS. ACTUAL / OUTLOOK</t>
  </si>
  <si>
    <t xml:space="preserve">Actuals through September 2026; October–December are forecast.</t>
  </si>
  <si>
    <t xml:space="preserve">Month</t>
  </si>
  <si>
    <t xml:space="preserve">Type</t>
  </si>
  <si>
    <t xml:space="preserve">Budget Revenue</t>
  </si>
  <si>
    <t xml:space="preserve">Actual / Forecast Revenue</t>
  </si>
  <si>
    <t xml:space="preserve">Variance</t>
  </si>
  <si>
    <t xml:space="preserve">Variance %</t>
  </si>
  <si>
    <t xml:space="preserve">Cumulative Budget</t>
  </si>
  <si>
    <t xml:space="preserve">Cumulative Outlook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</si>
  <si>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</si>
  <si>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</si>
  <si>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</si>
  <si>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</si>
  <si>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</si>
  <si>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</si>
  <si>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</si>
  <si>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</si>
  <si>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</si>
  <si>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</si>
  <si>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</si>
  <si>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</si>
  <si>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FY2026</t>
  </si>
  <si>
    <t xml:space="preserve">FULL-YEAR OUTLOOK</t>
  </si>
  <si>
    <t xml:space="preserve">FY budget revenue</t>
  </si>
  <si>
    <t xml:space="preserve">YTD actual revenue</t>
  </si>
  <si>
    <t xml:space="preserve">Remaining forecast</t>
  </si>
  <si>
    <t xml:space="preserve">FY outlook</t>
  </si>
  <si>
    <t xml:space="preserve">Gap to budget</t>
  </si>
  <si>
    <t xml:space="preserve">Gap to budget %</t>
  </si>
  <si>
    <t xml:space="preserve">FY outlook profit</t>
  </si>
  <si>
    <t xml:space="preserve">FY outlook margin</t>
  </si>
  <si>
    <t xml:space="preserve">BUSINESS PARTNERING  —  FINDINGS &amp; AGREED ACTIONS</t>
  </si>
  <si>
    <t xml:space="preserve">#</t>
  </si>
  <si>
    <t xml:space="preserve">Finding</t>
  </si>
  <si>
    <t xml:space="preserve">Option for Action</t>
  </si>
  <si>
    <t xml:space="preserve">Owner</t>
  </si>
  <si>
    <t xml:space="preserve">Due</t>
  </si>
  <si>
    <t xml:space="preserve">Status</t>
  </si>
  <si>
    <t xml:space="preserve">Expected Impact (EUR p.a.)</t>
  </si>
  <si>
    <t xml:space="preserve">Lowest utilization of all teams</t>
  </si>
  <si>
    <t xml:space="preserve">Rebalance staffing; shift internal project work to quieter months</t>
  </si>
  <si>
    <t xml:space="preserve">Head of Tech &amp; Data</t>
  </si>
  <si>
    <t xml:space="preserve">In progress</t>
  </si>
  <si>
    <t xml:space="preserve">Highest share of written-off hours</t>
  </si>
  <si>
    <t xml:space="preserve">Introduce interim billing and scope checkpoints on fixed-fee mandates</t>
  </si>
  <si>
    <t xml:space="preserve">Open</t>
  </si>
  <si>
    <t xml:space="preserve">Largest gap between list rate and realized rate</t>
  </si>
  <si>
    <t xml:space="preserve">Review discount approvals; define floor rates for repeat clients</t>
  </si>
  <si>
    <t xml:space="preserve">Partner M&amp;A</t>
  </si>
  <si>
    <t xml:space="preserve">Realization below firm average</t>
  </si>
  <si>
    <t xml:space="preserve">Monthly review of unbilled services older than 60 days</t>
  </si>
  <si>
    <t xml:space="preserve">Head of Tax</t>
  </si>
  <si>
    <t xml:space="preserve">Utilization below target in summer months</t>
  </si>
  <si>
    <t xml:space="preserve">Align holiday planning and mandate pipeline</t>
  </si>
  <si>
    <t xml:space="preserve">Partner Regulatory</t>
  </si>
  <si>
    <t xml:space="preserve">Rate card unchanged for two years</t>
  </si>
  <si>
    <t xml:space="preserve">Prepare rate-card update proposal with client-segment view</t>
  </si>
  <si>
    <t xml:space="preserve">Managing Partner</t>
  </si>
  <si>
    <t xml:space="preserve">Done</t>
  </si>
  <si>
    <t xml:space="preserve">Total expected impact</t>
  </si>
  <si>
    <t xml:space="preserve">thereof implemented (Done)</t>
  </si>
  <si>
    <t xml:space="preserve">Implementation rate</t>
  </si>
  <si>
    <t xml:space="preserve">REPORTING  —  POWER BI DASHBOARD REQUIREMENTS (specification example)</t>
  </si>
  <si>
    <t xml:space="preserve">KPI / Visual</t>
  </si>
  <si>
    <t xml:space="preserve">Definition</t>
  </si>
  <si>
    <t xml:space="preserve">Source</t>
  </si>
  <si>
    <t xml:space="preserve">Refresh</t>
  </si>
  <si>
    <t xml:space="preserve">Decision supported</t>
  </si>
  <si>
    <t xml:space="preserve">Audience</t>
  </si>
  <si>
    <t xml:space="preserve">Priority</t>
  </si>
  <si>
    <t xml:space="preserve">Revenue vs. budget</t>
  </si>
  <si>
    <t xml:space="preserve">Invoiced fees vs. budget, by month and practice area, incl. forecast months</t>
  </si>
  <si>
    <t xml:space="preserve">Billing system, planning file</t>
  </si>
  <si>
    <t xml:space="preserve">Daily</t>
  </si>
  <si>
    <t xml:space="preserve">Early steering of budget gaps</t>
  </si>
  <si>
    <t xml:space="preserve">Management, partners</t>
  </si>
  <si>
    <t xml:space="preserve">High</t>
  </si>
  <si>
    <t xml:space="preserve">Utilization</t>
  </si>
  <si>
    <t xml:space="preserve">Billable hours / available hours (FTE-adjusted)</t>
  </si>
  <si>
    <t xml:space="preserve">Time recording, HR (FTE)</t>
  </si>
  <si>
    <t xml:space="preserve">Staffing and capacity decisions</t>
  </si>
  <si>
    <t xml:space="preserve">Practice heads</t>
  </si>
  <si>
    <t xml:space="preserve">Realization</t>
  </si>
  <si>
    <t xml:space="preserve">Invoiced hours / billable hours; write-offs by team and client</t>
  </si>
  <si>
    <t xml:space="preserve">Time recording, billing</t>
  </si>
  <si>
    <t xml:space="preserve">Weekly</t>
  </si>
  <si>
    <t xml:space="preserve">Billing discipline, scope management</t>
  </si>
  <si>
    <t xml:space="preserve">Practice heads, controlling</t>
  </si>
  <si>
    <t xml:space="preserve">Realized rate</t>
  </si>
  <si>
    <t xml:space="preserve">Revenue / invoiced hours vs. list rate</t>
  </si>
  <si>
    <t xml:space="preserve">Billing, rate card</t>
  </si>
  <si>
    <t xml:space="preserve">Pricing decisions, discount approvals</t>
  </si>
  <si>
    <t xml:space="preserve">Partners</t>
  </si>
  <si>
    <t xml:space="preserve">Unbilled services (WIP)</t>
  </si>
  <si>
    <t xml:space="preserve">Value of recorded, not yet invoiced time, aged by months</t>
  </si>
  <si>
    <t xml:space="preserve">Cash conversion, invoicing priorities</t>
  </si>
  <si>
    <t xml:space="preserve">Partners, accounting</t>
  </si>
  <si>
    <t xml:space="preserve">Profitability</t>
  </si>
  <si>
    <t xml:space="preserve">Revenue less personnel and other costs, margin by team</t>
  </si>
  <si>
    <t xml:space="preserve">Accounting, cost allocation</t>
  </si>
  <si>
    <t xml:space="preserve">Monthly</t>
  </si>
  <si>
    <t xml:space="preserve">Investment and resourcing decisions</t>
  </si>
  <si>
    <t xml:space="preserve">Management</t>
  </si>
  <si>
    <t xml:space="preserve">Medium</t>
  </si>
  <si>
    <t xml:space="preserve">Revenue per FTE</t>
  </si>
  <si>
    <t xml:space="preserve">Revenue / average FTE</t>
  </si>
  <si>
    <t xml:space="preserve">Billing, HR</t>
  </si>
  <si>
    <t xml:space="preserve">Productivity benchmarking</t>
  </si>
  <si>
    <t xml:space="preserve">Forecast accuracy</t>
  </si>
  <si>
    <t xml:space="preserve">Forecast vs. actual by quarter</t>
  </si>
  <si>
    <t xml:space="preserve">Planning file, billing</t>
  </si>
  <si>
    <t xml:space="preserve">Quarterly</t>
  </si>
  <si>
    <t xml:space="preserve">Quality of planning process</t>
  </si>
  <si>
    <t xml:space="preserve">Controlling</t>
  </si>
  <si>
    <t xml:space="preserve">Business-case tracker</t>
  </si>
  <si>
    <t xml:space="preserve">NPV, IRR, payback of approved investments vs. plan</t>
  </si>
  <si>
    <t xml:space="preserve">Business-case model</t>
  </si>
  <si>
    <t xml:space="preserve">Investment follow-up</t>
  </si>
  <si>
    <t xml:space="preserve">Low</t>
  </si>
  <si>
    <t xml:space="preserve">Data model note: one fact table (monthly hours, revenue, cost by practice area) with dimension tables for date, practice area and rate card.</t>
  </si>
  <si>
    <t xml:space="preserve">MONTHLY DATA  —  BY PRACTICE AREA (illustrative sample data, EUR)</t>
  </si>
  <si>
    <t xml:space="preserve">Year</t>
  </si>
  <si>
    <t xml:space="preserve">Month#</t>
  </si>
  <si>
    <t xml:space="preserve">Month Name</t>
  </si>
  <si>
    <t xml:space="preserve">FTE</t>
  </si>
  <si>
    <t xml:space="preserve">Available Hours</t>
  </si>
  <si>
    <t xml:space="preserve">Personnel Cost</t>
  </si>
  <si>
    <t xml:space="preserve">Other Cost</t>
  </si>
  <si>
    <t xml:space="preserve">Unbilled WIP (month-end)</t>
  </si>
  <si>
    <t xml:space="preserve">Value at List Rate</t>
  </si>
  <si>
    <t xml:space="preserve">Actual</t>
  </si>
  <si>
    <t xml:space="preserve">Forecast</t>
  </si>
  <si>
    <t xml:space="preserve">CALC ENGINE (hidden) — Dashboard!D5 (year), Dashboard!H5 (practice area)</t>
  </si>
  <si>
    <t xml:space="preserve">KPI</t>
  </si>
  <si>
    <t xml:space="preserve">Value</t>
  </si>
  <si>
    <t xml:space="preserve">Budget</t>
  </si>
  <si>
    <t xml:space="preserve">Revenue vs budget</t>
  </si>
  <si>
    <t xml:space="preserve">Profit margin</t>
  </si>
  <si>
    <t xml:space="preserve">Available hours</t>
  </si>
  <si>
    <t xml:space="preserve">Billable hours</t>
  </si>
  <si>
    <t xml:space="preserve">Invoiced hours</t>
  </si>
  <si>
    <t xml:space="preserve">Average FTE</t>
  </si>
  <si>
    <t xml:space="preserve">Last actual month</t>
  </si>
  <si>
    <t xml:space="preserve">Personnel cost</t>
  </si>
  <si>
    <t xml:space="preserve">Other cost</t>
  </si>
  <si>
    <t xml:space="preserve">Value at list rate</t>
  </si>
  <si>
    <t xml:space="preserve">Write-off value</t>
  </si>
  <si>
    <t xml:space="preserve">Rate discount</t>
  </si>
  <si>
    <t xml:space="preserve">Step</t>
  </si>
  <si>
    <t xml:space="preserve">List value</t>
  </si>
  <si>
    <t xml:space="preserve">Write-offs</t>
  </si>
  <si>
    <t xml:space="preserve">Rate discounts</t>
  </si>
  <si>
    <t xml:space="preserve">Realized</t>
  </si>
  <si>
    <t xml:space="preserve">Jan</t>
  </si>
  <si>
    <t xml:space="preserve">Feb</t>
  </si>
  <si>
    <t xml:space="preserve">Mar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</si>
  <si>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</si>
  <si>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</si>
  <si>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</si>
  <si>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</si>
  <si>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</si>
  <si>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</si>
  <si>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</si>
  <si>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</si>
  <si>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Margin</t>
  </si>
  <si>
    <t xml:space="preserve">Component</t>
  </si>
  <si>
    <t xml:space="preserve">Personnel</t>
  </si>
  <si>
    <t xml:space="preserve">Other costs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</si>
</sst>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.0,,&quot;M €&quot;"/>
    <numFmt numFmtId="166" formatCode="\+0.0%;\-0.0%"/>
    <numFmt numFmtId="167" formatCode="0.0%"/>
    <numFmt numFmtId="168" formatCode="#,##0&quot; €/h&quot;"/>
    <numFmt numFmtId="169" formatCode="0.0"/>
    <numFmt numFmtId="170" formatCode="#,##0,&quot;k €&quot;"/>
    <numFmt numFmtId="171" formatCode="#,##0.0,,\M"/>
    <numFmt numFmtId="172" formatCode="0%"/>
    <numFmt numFmtId="173" formatCode="#,##0,,\M"/>
    <numFmt numFmtId="174" formatCode="#,##0"/>
    <numFmt numFmtId="175" formatCode="#,##0&quot; €&quot;"/>
    <numFmt numFmtId="176" formatCode="@"/>
    <numFmt numFmtId="177" formatCode="0.00"/>
    <numFmt numFmtId="178" formatCode="&quot;Year &quot;0"/>
    <numFmt numFmtId="179" formatCode="0.000"/>
    <numFmt numFmtId="180" formatCode="0.00\x"/>
    <numFmt numFmtId="181" formatCode="#,##0,\k"/>
    <numFmt numFmtId="182" formatCode="dd\.mm\.yyyy"/>
    <numFmt numFmtId="183" formatCode="mmm\-yy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Segoe UI"/>
      <family val="0"/>
      <charset val="1"/>
    </font>
    <font>
      <i val="true"/>
      <sz val="12"/>
      <color rgb="FF595959"/>
      <name val="Segoe UI"/>
      <family val="0"/>
      <charset val="1"/>
    </font>
    <font>
      <sz val="10.5"/>
      <color rgb="FF1A1A1A"/>
      <name val="Segoe UI"/>
      <family val="0"/>
      <charset val="1"/>
    </font>
    <font>
      <b val="true"/>
      <sz val="12"/>
      <color rgb="FF1AA6A0"/>
      <name val="Segoe UI"/>
      <family val="0"/>
      <charset val="1"/>
    </font>
    <font>
      <b val="true"/>
      <sz val="19"/>
      <color rgb="FFFFFFFF"/>
      <name val="Segoe UI"/>
      <family val="0"/>
      <charset val="1"/>
    </font>
    <font>
      <i val="true"/>
      <sz val="10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11"/>
      <name val="Segoe UI"/>
      <family val="0"/>
      <charset val="1"/>
    </font>
    <font>
      <b val="true"/>
      <sz val="12"/>
      <color rgb="FF10263F"/>
      <name val="Segoe UI"/>
      <family val="0"/>
      <charset val="1"/>
    </font>
    <font>
      <i val="true"/>
      <sz val="8"/>
      <color rgb="FF6B7280"/>
      <name val="Segoe UI"/>
      <family val="0"/>
      <charset val="1"/>
    </font>
    <font>
      <b val="true"/>
      <sz val="8.5"/>
      <color rgb="FF6B7280"/>
      <name val="Segoe UI"/>
      <family val="0"/>
      <charset val="1"/>
    </font>
    <font>
      <b val="true"/>
      <sz val="15"/>
      <color rgb="FF10263F"/>
      <name val="Segoe UI"/>
      <family val="0"/>
      <charset val="1"/>
    </font>
    <font>
      <b val="true"/>
      <sz val="15"/>
      <color rgb="FF1AA6A0"/>
      <name val="Segoe UI"/>
      <family val="0"/>
      <charset val="1"/>
    </font>
    <font>
      <b val="true"/>
      <sz val="15"/>
      <color rgb="FF2E8B57"/>
      <name val="Segoe UI"/>
      <family val="0"/>
      <charset val="1"/>
    </font>
    <font>
      <b val="true"/>
      <sz val="15"/>
      <color rgb="FFC9A24B"/>
      <name val="Segoe UI"/>
      <family val="0"/>
      <charset val="1"/>
    </font>
    <font>
      <b val="true"/>
      <sz val="15"/>
      <color rgb="FFC0392B"/>
      <name val="Segoe UI"/>
      <family val="0"/>
      <charset val="1"/>
    </font>
    <font>
      <b val="true"/>
      <sz val="9.5"/>
      <color rgb="FF10263F"/>
      <name val="Segoe UI"/>
      <family val="0"/>
      <charset val="1"/>
    </font>
    <font>
      <b val="true"/>
      <sz val="8"/>
      <color rgb="FF6B7280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8"/>
      <color rgb="FF10263F"/>
      <name val="Segoe U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Segoe UI"/>
      <family val="0"/>
      <charset val="1"/>
    </font>
    <font>
      <b val="true"/>
      <u val="single"/>
      <sz val="9"/>
      <color rgb="FF1AA6A0"/>
      <name val="Segoe UI"/>
      <family val="0"/>
      <charset val="1"/>
    </font>
    <font>
      <i val="true"/>
      <sz val="9"/>
      <color rgb="FF6B7280"/>
      <name val="Segoe UI"/>
      <family val="0"/>
      <charset val="1"/>
    </font>
    <font>
      <b val="true"/>
      <sz val="11"/>
      <color rgb="FF10263F"/>
      <name val="Segoe UI"/>
      <family val="0"/>
      <charset val="1"/>
    </font>
    <font>
      <sz val="9.5"/>
      <name val="Segoe UI"/>
      <family val="0"/>
      <charset val="1"/>
    </font>
    <font>
      <sz val="9.5"/>
      <color rgb="FF1F4E99"/>
      <name val="Segoe UI"/>
      <family val="0"/>
      <charset val="1"/>
    </font>
    <font>
      <sz val="9.5"/>
      <color rgb="FF1A1A1A"/>
      <name val="Segoe UI"/>
      <family val="0"/>
      <charset val="1"/>
    </font>
    <font>
      <b val="true"/>
      <sz val="9.5"/>
      <name val="Segoe UI"/>
      <family val="0"/>
      <charset val="1"/>
    </font>
    <font>
      <b val="true"/>
      <sz val="9.5"/>
      <color rgb="FF1A1A1A"/>
      <name val="Segoe UI"/>
      <family val="0"/>
      <charset val="1"/>
    </font>
    <font>
      <sz val="10"/>
      <name val="Segoe UI"/>
      <family val="0"/>
      <charset val="1"/>
    </font>
    <font>
      <b val="true"/>
      <sz val="10"/>
      <color rgb="FF1F4E99"/>
      <name val="Segoe UI"/>
      <family val="0"/>
      <charset val="1"/>
    </font>
    <font>
      <b val="true"/>
      <sz val="10"/>
      <color rgb="FF10263F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1F4E99"/>
      <name val="Segoe UI"/>
      <family val="0"/>
      <charset val="1"/>
    </font>
    <font>
      <b val="true"/>
      <sz val="10"/>
      <name val="Segoe UI"/>
      <family val="0"/>
      <charset val="1"/>
    </font>
    <font>
      <b val="true"/>
      <sz val="11"/>
      <color rgb="FF1AA6A0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0.5"/>
      <color rgb="FF10263F"/>
      <name val="Segoe U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6304E"/>
        <bgColor rgb="FF1B3A5C"/>
      </patternFill>
    </fill>
    <fill>
      <patternFill patternType="solid">
        <fgColor rgb="FFEEF3F6"/>
        <bgColor rgb="FFF5F8FA"/>
      </patternFill>
    </fill>
    <fill>
      <patternFill patternType="solid">
        <fgColor rgb="FF1AA6A0"/>
        <bgColor rgb="FF2E8B57"/>
      </patternFill>
    </fill>
    <fill>
      <patternFill patternType="solid">
        <fgColor rgb="FF10263F"/>
        <bgColor rgb="FF16304E"/>
      </patternFill>
    </fill>
    <fill>
      <patternFill patternType="solid">
        <fgColor rgb="FFFFF2CC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B3A5C"/>
        <bgColor rgb="FF16304E"/>
      </patternFill>
    </fill>
    <fill>
      <patternFill patternType="solid">
        <fgColor rgb="FF5A7A99"/>
        <bgColor rgb="FF6B7280"/>
      </patternFill>
    </fill>
    <fill>
      <patternFill patternType="solid">
        <fgColor rgb="FFE0F3F2"/>
        <bgColor rgb="FFEEF3F6"/>
      </patternFill>
    </fill>
    <fill>
      <patternFill patternType="solid">
        <fgColor rgb="FFF5F8FA"/>
        <bgColor rgb="FFF9F9F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EEF3F6"/>
      </left>
      <right style="medium">
        <color rgb="FFEEF3F6"/>
      </right>
      <top/>
      <bottom/>
      <diagonal/>
    </border>
    <border diagonalUp="false" diagonalDown="false">
      <left style="medium">
        <color rgb="FFC9A24B"/>
      </left>
      <right/>
      <top style="medium">
        <color rgb="FFC9A24B"/>
      </top>
      <bottom style="medium">
        <color rgb="FFC9A24B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AA6A0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ck">
        <color rgb="FF1AA6A0"/>
      </left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4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4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4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3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3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2" fontId="3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31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3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1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1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Segoe UI"/>
        <charset val="1"/>
        <family val="0"/>
        <b val="1"/>
        <color rgb="FFC0392B"/>
        <sz val="15"/>
      </font>
    </dxf>
    <dxf>
      <font>
        <b val="1"/>
        <color rgb="FFC0392B"/>
      </font>
    </dxf>
    <dxf>
      <fill>
        <patternFill>
          <bgColor rgb="FFE0F3F2"/>
        </patternFill>
      </fill>
    </dxf>
    <dxf>
      <fill>
        <patternFill>
          <bgColor rgb="FFC6E6D0"/>
        </patternFill>
      </fill>
    </dxf>
    <dxf>
      <fill>
        <patternFill>
          <bgColor rgb="FFFFF2CC"/>
        </patternFill>
      </fill>
    </dxf>
    <dxf>
      <fill>
        <patternFill>
          <bgColor rgb="FFF8D7DA"/>
        </patternFill>
      </fill>
    </dxf>
    <dxf>
      <fill>
        <patternFill patternType="solid">
          <fgColor rgb="FF10263F"/>
          <bgColor rgb="FF000000"/>
        </patternFill>
      </fill>
    </dxf>
    <dxf>
      <fill>
        <patternFill patternType="solid">
          <fgColor rgb="FFE0F3F2"/>
          <bgColor rgb="FF000000"/>
        </patternFill>
      </fill>
    </dxf>
    <dxf>
      <fill>
        <patternFill patternType="solid">
          <fgColor rgb="FFF5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A6A0"/>
      <rgbColor rgb="FFBFBFBF"/>
      <rgbColor rgb="FF878787"/>
      <rgbColor rgb="FF7FA6C9"/>
      <rgbColor rgb="FF595959"/>
      <rgbColor rgb="FFFFF2CC"/>
      <rgbColor rgb="FFE0F3F2"/>
      <rgbColor rgb="FF660066"/>
      <rgbColor rgb="FFE17055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5A7A99"/>
      <rgbColor rgb="FF0000FF"/>
      <rgbColor rgb="FF00CCFF"/>
      <rgbColor rgb="FFEEF3F6"/>
      <rgbColor rgb="FFC6E6D0"/>
      <rgbColor rgb="FFF9F9F9"/>
      <rgbColor rgb="FF99CCFF"/>
      <rgbColor rgb="FFF5F8FA"/>
      <rgbColor rgb="FFCC99FF"/>
      <rgbColor rgb="FFF8D7DA"/>
      <rgbColor rgb="FF397BCA"/>
      <rgbColor rgb="FF7FD1CC"/>
      <rgbColor rgb="FF99CC00"/>
      <rgbColor rgb="FFFFCC00"/>
      <rgbColor rgb="FFC9A24B"/>
      <rgbColor rgb="FFFF6600"/>
      <rgbColor rgb="FF6B7280"/>
      <rgbColor rgb="FF7F8C8D"/>
      <rgbColor rgb="FF16304E"/>
      <rgbColor rgb="FF2E8B57"/>
      <rgbColor rgb="FF10263F"/>
      <rgbColor rgb="FF1A1A1A"/>
      <rgbColor rgb="FFC0392B"/>
      <rgbColor rgb="FF6C5CE7"/>
      <rgbColor rgb="FF1F4E99"/>
      <rgbColor rgb="FF1B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Calc_Engine!B33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026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Calc_Engine!$A$34:$A$45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Calc_Engine!$B$34:$B$45</c:f>
              <c:numCache>
                <c:formatCode>General</c:formatCode>
                <c:ptCount val="12"/>
                <c:pt idx="0">
                  <c:v>4936880</c:v>
                </c:pt>
                <c:pt idx="1">
                  <c:v>5175860</c:v>
                </c:pt>
                <c:pt idx="2">
                  <c:v>6125060</c:v>
                </c:pt>
                <c:pt idx="3">
                  <c:v>5447210</c:v>
                </c:pt>
                <c:pt idx="4">
                  <c:v>5642410</c:v>
                </c:pt>
                <c:pt idx="5">
                  <c:v>6127590</c:v>
                </c:pt>
                <c:pt idx="6">
                  <c:v>5594890</c:v>
                </c:pt>
                <c:pt idx="7">
                  <c:v>4595840</c:v>
                </c:pt>
                <c:pt idx="8">
                  <c:v>6205960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Calc_Engine!C33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7fd1c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Calc_Engine!$A$34:$A$45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Calc_Engine!$C$34:$C$45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6338160</c:v>
                </c:pt>
                <c:pt idx="10">
                  <c:v>6706020</c:v>
                </c:pt>
                <c:pt idx="11">
                  <c:v>5379740</c:v>
                </c:pt>
              </c:numCache>
            </c:numRef>
          </c:val>
        </c:ser>
        <c:gapWidth val="40"/>
        <c:overlap val="100"/>
        <c:axId val="71889283"/>
        <c:axId val="95091462"/>
      </c:barChart>
      <c:lineChart>
        <c:grouping val="stacked"/>
        <c:varyColors val="0"/>
        <c:ser>
          <c:idx val="2"/>
          <c:order val="2"/>
          <c:tx>
            <c:strRef>
              <c:f>Calc_Engine!D33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c9a24b"/>
            </a:solidFill>
            <a:ln w="25920">
              <a:solidFill>
                <a:srgbClr val="c9a2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Calc_Engine!$A$34:$A$45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Calc_Engine!$D$34:$D$45</c:f>
              <c:numCache>
                <c:formatCode>General</c:formatCode>
                <c:ptCount val="12"/>
                <c:pt idx="0">
                  <c:v>4804600</c:v>
                </c:pt>
                <c:pt idx="1">
                  <c:v>5209100</c:v>
                </c:pt>
                <c:pt idx="2">
                  <c:v>6193600</c:v>
                </c:pt>
                <c:pt idx="3">
                  <c:v>5507900</c:v>
                </c:pt>
                <c:pt idx="4">
                  <c:v>5469900</c:v>
                </c:pt>
                <c:pt idx="5">
                  <c:v>6091100</c:v>
                </c:pt>
                <c:pt idx="6">
                  <c:v>5612700</c:v>
                </c:pt>
                <c:pt idx="7">
                  <c:v>4597800</c:v>
                </c:pt>
                <c:pt idx="8">
                  <c:v>6313200</c:v>
                </c:pt>
                <c:pt idx="9">
                  <c:v>6407700</c:v>
                </c:pt>
                <c:pt idx="10">
                  <c:v>6597500</c:v>
                </c:pt>
                <c:pt idx="11">
                  <c:v>5394300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889283"/>
        <c:axId val="95091462"/>
      </c:lineChart>
      <c:catAx>
        <c:axId val="71889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91462"/>
        <c:crosses val="autoZero"/>
        <c:auto val="1"/>
        <c:lblAlgn val="ctr"/>
        <c:lblOffset val="100"/>
        <c:noMultiLvlLbl val="0"/>
      </c:catAx>
      <c:valAx>
        <c:axId val="95091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892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Calc_Engine!E33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rgbClr val="10263f"/>
            </a:solidFill>
            <a:ln w="24120">
              <a:solidFill>
                <a:srgbClr val="1026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Calc_Engine!$A$34:$A$45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Calc_Engine!$E$34:$E$45</c:f>
              <c:numCache>
                <c:formatCode>General</c:formatCode>
                <c:ptCount val="12"/>
                <c:pt idx="0">
                  <c:v>0.611783313562673</c:v>
                </c:pt>
                <c:pt idx="1">
                  <c:v>0.654259718775848</c:v>
                </c:pt>
                <c:pt idx="2">
                  <c:v>0.721307179755933</c:v>
                </c:pt>
                <c:pt idx="3">
                  <c:v>0.675530218465954</c:v>
                </c:pt>
                <c:pt idx="4">
                  <c:v>0.692295628308175</c:v>
                </c:pt>
                <c:pt idx="5">
                  <c:v>0.709695393759287</c:v>
                </c:pt>
                <c:pt idx="6">
                  <c:v>0.655478848413631</c:v>
                </c:pt>
                <c:pt idx="7">
                  <c:v>0.57385936448894</c:v>
                </c:pt>
                <c:pt idx="8">
                  <c:v>0.710651537335286</c:v>
                </c:pt>
                <c:pt idx="9">
                  <c:v>0.747895403412054</c:v>
                </c:pt>
                <c:pt idx="10">
                  <c:v>0.755735930735931</c:v>
                </c:pt>
                <c:pt idx="11">
                  <c:v>0.687154498177798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Calc_Engine!F33</c:f>
              <c:strCache>
                <c:ptCount val="1"/>
                <c:pt idx="0">
                  <c:v>Realization</c:v>
                </c:pt>
              </c:strCache>
            </c:strRef>
          </c:tx>
          <c:spPr>
            <a:solidFill>
              <a:srgbClr val="1aa6a0"/>
            </a:solidFill>
            <a:ln w="24120">
              <a:solidFill>
                <a:srgbClr val="1aa6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Calc_Engine!$A$34:$A$45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Calc_Engine!$F$34:$F$45</c:f>
              <c:numCache>
                <c:formatCode>General</c:formatCode>
                <c:ptCount val="12"/>
                <c:pt idx="0">
                  <c:v>0.918239400206825</c:v>
                </c:pt>
                <c:pt idx="1">
                  <c:v>0.90181205225453</c:v>
                </c:pt>
                <c:pt idx="2">
                  <c:v>0.909180549068452</c:v>
                </c:pt>
                <c:pt idx="3">
                  <c:v>0.916966656830924</c:v>
                </c:pt>
                <c:pt idx="4">
                  <c:v>0.913178909214476</c:v>
                </c:pt>
                <c:pt idx="5">
                  <c:v>0.915624182151269</c:v>
                </c:pt>
                <c:pt idx="6">
                  <c:v>0.904033613445378</c:v>
                </c:pt>
                <c:pt idx="7">
                  <c:v>0.904013239553165</c:v>
                </c:pt>
                <c:pt idx="8">
                  <c:v>0.916404841617306</c:v>
                </c:pt>
                <c:pt idx="9">
                  <c:v>0.910250024902879</c:v>
                </c:pt>
                <c:pt idx="10">
                  <c:v>0.914029309274906</c:v>
                </c:pt>
                <c:pt idx="11">
                  <c:v>0.906501400393302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326655"/>
        <c:axId val="3236019"/>
      </c:lineChart>
      <c:catAx>
        <c:axId val="7732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6019"/>
        <c:crosses val="autoZero"/>
        <c:auto val="1"/>
        <c:lblAlgn val="ctr"/>
        <c:lblOffset val="100"/>
        <c:noMultiLvlLbl val="0"/>
      </c:catAx>
      <c:valAx>
        <c:axId val="3236019"/>
        <c:scaling>
          <c:orientation val="minMax"/>
          <c:max val="1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266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solidFill>
                <a:srgbClr val="10263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a6c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aa6a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Calc_Engine!$A$60:$A$62</c:f>
              <c:strCache>
                <c:ptCount val="3"/>
                <c:pt idx="0">
                  <c:v>Personnel</c:v>
                </c:pt>
                <c:pt idx="1">
                  <c:v>Other costs</c:v>
                </c:pt>
                <c:pt idx="2">
                  <c:v>Profit</c:v>
                </c:pt>
              </c:strCache>
            </c:strRef>
          </c:cat>
          <c:val>
            <c:numRef>
              <c:f>Calc_Engine!$B$60:$B$62</c:f>
              <c:numCache>
                <c:formatCode>General</c:formatCode>
                <c:ptCount val="3"/>
                <c:pt idx="0">
                  <c:v>34887000</c:v>
                </c:pt>
                <c:pt idx="1">
                  <c:v>15013530</c:v>
                </c:pt>
                <c:pt idx="2">
                  <c:v>18375090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ubbleChart>
        <c:varyColors val="0"/>
        <c:ser>
          <c:idx val="0"/>
          <c:order val="0"/>
          <c:tx>
            <c:strRef>
              <c:f>"Private Equity &amp; VC"</c:f>
              <c:strCache>
                <c:ptCount val="1"/>
                <c:pt idx="0">
                  <c:v>Private Equity &amp; VC</c:v>
                </c:pt>
              </c:strCache>
            </c:strRef>
          </c:tx>
          <c:spPr>
            <a:solidFill>
              <a:srgbClr val="10263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Calc_Engine!$E$50</c:f>
              <c:numCache>
                <c:formatCode>0.0%</c:formatCode>
                <c:ptCount val="1"/>
                <c:pt idx="0">
                  <c:v>0.712297285578007</c:v>
                </c:pt>
              </c:numCache>
            </c:numRef>
          </c:xVal>
          <c:yVal>
            <c:numRef>
              <c:f>Calc_Engine!$F$50</c:f>
              <c:numCache>
                <c:formatCode>General</c:formatCode>
                <c:ptCount val="1"/>
                <c:pt idx="0">
                  <c:v>370.251335493476</c:v>
                </c:pt>
              </c:numCache>
            </c:numRef>
          </c:yVal>
          <c:bubbleSize>
            <c:numRef>
              <c:f>Calc_Engine!$B$50</c:f>
              <c:numCache>
                <c:formatCode>General</c:formatCode>
                <c:ptCount val="1"/>
                <c:pt idx="0">
                  <c:v>16911600</c:v>
                </c:pt>
              </c:numCache>
            </c:numRef>
          </c:bubbleSize>
          <c:bubble3D val="0"/>
        </c:ser>
        <c:ser>
          <c:idx val="1"/>
          <c:order val="1"/>
          <c:tx>
            <c:strRef>
              <c:f>"Funds &amp; Asset Mgmt"</c:f>
              <c:strCache>
                <c:ptCount val="1"/>
                <c:pt idx="0">
                  <c:v>Funds &amp; Asset Mgmt</c:v>
                </c:pt>
              </c:strCache>
            </c:strRef>
          </c:tx>
          <c:spPr>
            <a:solidFill>
              <a:srgbClr val="1aa6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Calc_Engine!$E$51</c:f>
              <c:numCache>
                <c:formatCode>0.0%</c:formatCode>
                <c:ptCount val="1"/>
                <c:pt idx="0">
                  <c:v>0.685816056260846</c:v>
                </c:pt>
              </c:numCache>
            </c:numRef>
          </c:xVal>
          <c:yVal>
            <c:numRef>
              <c:f>Calc_Engine!$F$51</c:f>
              <c:numCache>
                <c:formatCode>General</c:formatCode>
                <c:ptCount val="1"/>
                <c:pt idx="0">
                  <c:v>349.504184704185</c:v>
                </c:pt>
              </c:numCache>
            </c:numRef>
          </c:yVal>
          <c:bubbleSize>
            <c:numRef>
              <c:f>Calc_Engine!$B$51</c:f>
              <c:numCache>
                <c:formatCode>General</c:formatCode>
                <c:ptCount val="1"/>
                <c:pt idx="0">
                  <c:v>12110320</c:v>
                </c:pt>
              </c:numCache>
            </c:numRef>
          </c:bubbleSize>
          <c:bubble3D val="0"/>
        </c:ser>
        <c:ser>
          <c:idx val="2"/>
          <c:order val="2"/>
          <c:tx>
            <c:strRef>
              <c:f>"Tax"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rgbClr val="c9a2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Calc_Engine!$E$52</c:f>
              <c:numCache>
                <c:formatCode>0.0%</c:formatCode>
                <c:ptCount val="1"/>
                <c:pt idx="0">
                  <c:v>0.66356494706772</c:v>
                </c:pt>
              </c:numCache>
            </c:numRef>
          </c:xVal>
          <c:yVal>
            <c:numRef>
              <c:f>Calc_Engine!$F$52</c:f>
              <c:numCache>
                <c:formatCode>General</c:formatCode>
                <c:ptCount val="1"/>
                <c:pt idx="0">
                  <c:v>313.805061247411</c:v>
                </c:pt>
              </c:numCache>
            </c:numRef>
          </c:yVal>
          <c:bubbleSize>
            <c:numRef>
              <c:f>Calc_Engine!$B$52</c:f>
              <c:numCache>
                <c:formatCode>General</c:formatCode>
                <c:ptCount val="1"/>
                <c:pt idx="0">
                  <c:v>8940620</c:v>
                </c:pt>
              </c:numCache>
            </c:numRef>
          </c:bubbleSize>
          <c:bubble3D val="0"/>
        </c:ser>
        <c:ser>
          <c:idx val="3"/>
          <c:order val="3"/>
          <c:tx>
            <c:strRef>
              <c:f>"M&amp;A / Transactions"</c:f>
              <c:strCache>
                <c:ptCount val="1"/>
                <c:pt idx="0">
                  <c:v>M&amp;A / Transactions</c:v>
                </c:pt>
              </c:strCache>
            </c:strRef>
          </c:tx>
          <c:spPr>
            <a:solidFill>
              <a:srgbClr val="6c5ce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Calc_Engine!$E$53</c:f>
              <c:numCache>
                <c:formatCode>0.0%</c:formatCode>
                <c:ptCount val="1"/>
                <c:pt idx="0">
                  <c:v>0.714377272608366</c:v>
                </c:pt>
              </c:numCache>
            </c:numRef>
          </c:xVal>
          <c:yVal>
            <c:numRef>
              <c:f>Calc_Engine!$F$53</c:f>
              <c:numCache>
                <c:formatCode>General</c:formatCode>
                <c:ptCount val="1"/>
                <c:pt idx="0">
                  <c:v>364.926411888727</c:v>
                </c:pt>
              </c:numCache>
            </c:numRef>
          </c:yVal>
          <c:bubbleSize>
            <c:numRef>
              <c:f>Calc_Engine!$B$53</c:f>
              <c:numCache>
                <c:formatCode>General</c:formatCode>
                <c:ptCount val="1"/>
                <c:pt idx="0">
                  <c:v>17827750</c:v>
                </c:pt>
              </c:numCache>
            </c:numRef>
          </c:bubbleSize>
          <c:bubble3D val="0"/>
        </c:ser>
        <c:ser>
          <c:idx val="4"/>
          <c:order val="4"/>
          <c:tx>
            <c:strRef>
              <c:f>"Regulatory &amp; Fin. Services"</c:f>
              <c:strCache>
                <c:ptCount val="1"/>
                <c:pt idx="0">
                  <c:v>Regulatory &amp; Fin. Services</c:v>
                </c:pt>
              </c:strCache>
            </c:strRef>
          </c:tx>
          <c:spPr>
            <a:solidFill>
              <a:srgbClr val="e1705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Calc_Engine!$E$54</c:f>
              <c:numCache>
                <c:formatCode>0.0%</c:formatCode>
                <c:ptCount val="1"/>
                <c:pt idx="0">
                  <c:v>0.645343484859795</c:v>
                </c:pt>
              </c:numCache>
            </c:numRef>
          </c:xVal>
          <c:yVal>
            <c:numRef>
              <c:f>Calc_Engine!$F$54</c:f>
              <c:numCache>
                <c:formatCode>General</c:formatCode>
                <c:ptCount val="1"/>
                <c:pt idx="0">
                  <c:v>343.079998351399</c:v>
                </c:pt>
              </c:numCache>
            </c:numRef>
          </c:yVal>
          <c:bubbleSize>
            <c:numRef>
              <c:f>Calc_Engine!$B$54</c:f>
              <c:numCache>
                <c:formatCode>General</c:formatCode>
                <c:ptCount val="1"/>
                <c:pt idx="0">
                  <c:v>8324150</c:v>
                </c:pt>
              </c:numCache>
            </c:numRef>
          </c:bubbleSize>
          <c:bubble3D val="0"/>
        </c:ser>
        <c:ser>
          <c:idx val="5"/>
          <c:order val="5"/>
          <c:tx>
            <c:strRef>
              <c:f>"Tech &amp; Data"</c:f>
              <c:strCache>
                <c:ptCount val="1"/>
                <c:pt idx="0">
                  <c:v>Tech &amp; Data</c:v>
                </c:pt>
              </c:strCache>
            </c:strRef>
          </c:tx>
          <c:spPr>
            <a:solidFill>
              <a:srgbClr val="7f8c8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Calc_Engine!$E$55</c:f>
              <c:numCache>
                <c:formatCode>0.0%</c:formatCode>
                <c:ptCount val="1"/>
                <c:pt idx="0">
                  <c:v>0.613561579442181</c:v>
                </c:pt>
              </c:numCache>
            </c:numRef>
          </c:xVal>
          <c:yVal>
            <c:numRef>
              <c:f>Calc_Engine!$F$55</c:f>
              <c:numCache>
                <c:formatCode>General</c:formatCode>
                <c:ptCount val="1"/>
                <c:pt idx="0">
                  <c:v>305.901639344262</c:v>
                </c:pt>
              </c:numCache>
            </c:numRef>
          </c:yVal>
          <c:bubbleSize>
            <c:numRef>
              <c:f>Calc_Engine!$B$55</c:f>
              <c:numCache>
                <c:formatCode>General</c:formatCode>
                <c:ptCount val="1"/>
                <c:pt idx="0">
                  <c:v>4161180</c:v>
                </c:pt>
              </c:numCache>
            </c:numRef>
          </c:bubbleSize>
          <c:bubble3D val="0"/>
        </c:ser>
        <c:axId val="87953807"/>
        <c:axId val="2996839"/>
      </c:bubbleChart>
      <c:valAx>
        <c:axId val="87953807"/>
        <c:scaling>
          <c:orientation val="minMax"/>
          <c:max val="0.8"/>
          <c:min val="0.5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6839"/>
        <c:crosses val="autoZero"/>
        <c:crossBetween val="midCat"/>
      </c:valAx>
      <c:valAx>
        <c:axId val="2996839"/>
        <c:scaling>
          <c:orientation val="minMax"/>
          <c:max val="400"/>
          <c:min val="28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Realized rate (EUR/h)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538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Calc_Engine!D49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1aa6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Calc_Engine!$A$50:$A$55</c:f>
              <c:strCache>
                <c:ptCount val="6"/>
                <c:pt idx="0">
                  <c:v>Private Equity &amp; VC</c:v>
                </c:pt>
                <c:pt idx="1">
                  <c:v>Funds &amp; Asset Mgmt</c:v>
                </c:pt>
                <c:pt idx="2">
                  <c:v>Tax</c:v>
                </c:pt>
                <c:pt idx="3">
                  <c:v>M&amp;A / Transactions</c:v>
                </c:pt>
                <c:pt idx="4">
                  <c:v>Regulatory &amp; Fin. Services</c:v>
                </c:pt>
                <c:pt idx="5">
                  <c:v>Tech &amp; Data</c:v>
                </c:pt>
              </c:strCache>
            </c:strRef>
          </c:cat>
          <c:val>
            <c:numRef>
              <c:f>Calc_Engine!$D$50:$D$55</c:f>
              <c:numCache>
                <c:formatCode>0.0%</c:formatCode>
                <c:ptCount val="6"/>
                <c:pt idx="0">
                  <c:v>0.335661321223302</c:v>
                </c:pt>
                <c:pt idx="1">
                  <c:v>0.270831819472978</c:v>
                </c:pt>
                <c:pt idx="2">
                  <c:v>0.175737253121148</c:v>
                </c:pt>
                <c:pt idx="3">
                  <c:v>0.304842170212169</c:v>
                </c:pt>
                <c:pt idx="4">
                  <c:v>0.24186974045398</c:v>
                </c:pt>
                <c:pt idx="5">
                  <c:v>0.0959944054330743</c:v>
                </c:pt>
              </c:numCache>
            </c:numRef>
          </c:val>
        </c:ser>
        <c:gapWidth val="40"/>
        <c:overlap val="0"/>
        <c:axId val="68251973"/>
        <c:axId val="17029390"/>
      </c:barChart>
      <c:catAx>
        <c:axId val="6825197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29390"/>
        <c:crosses val="autoZero"/>
        <c:auto val="1"/>
        <c:lblAlgn val="ctr"/>
        <c:lblOffset val="100"/>
        <c:noMultiLvlLbl val="0"/>
      </c:catAx>
      <c:valAx>
        <c:axId val="17029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51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Calc_Engine!B26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Calc_Engine!$A$27:$A$30</c:f>
              <c:strCache>
                <c:ptCount val="4"/>
                <c:pt idx="0">
                  <c:v>List value</c:v>
                </c:pt>
                <c:pt idx="1">
                  <c:v>Write-offs</c:v>
                </c:pt>
                <c:pt idx="2">
                  <c:v>Rate discounts</c:v>
                </c:pt>
                <c:pt idx="3">
                  <c:v>Realized</c:v>
                </c:pt>
              </c:strCache>
            </c:strRef>
          </c:cat>
          <c:val>
            <c:numRef>
              <c:f>Calc_Engine!$B$27:$B$30</c:f>
              <c:numCache>
                <c:formatCode>General</c:formatCode>
                <c:ptCount val="4"/>
                <c:pt idx="0">
                  <c:v>0</c:v>
                </c:pt>
                <c:pt idx="1">
                  <c:v>73453165</c:v>
                </c:pt>
                <c:pt idx="2">
                  <c:v>68275620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Calc_Engine!C26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c9a24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Calc_Engine!$A$27:$A$30</c:f>
              <c:strCache>
                <c:ptCount val="4"/>
                <c:pt idx="0">
                  <c:v>List value</c:v>
                </c:pt>
                <c:pt idx="1">
                  <c:v>Write-offs</c:v>
                </c:pt>
                <c:pt idx="2">
                  <c:v>Rate discounts</c:v>
                </c:pt>
                <c:pt idx="3">
                  <c:v>Realized</c:v>
                </c:pt>
              </c:strCache>
            </c:strRef>
          </c:cat>
          <c:val>
            <c:numRef>
              <c:f>Calc_Engine!$C$27:$C$30</c:f>
              <c:numCache>
                <c:formatCode>General</c:formatCode>
                <c:ptCount val="4"/>
                <c:pt idx="0">
                  <c:v>80621575</c:v>
                </c:pt>
                <c:pt idx="1">
                  <c:v>7168410</c:v>
                </c:pt>
                <c:pt idx="2">
                  <c:v>5177545</c:v>
                </c:pt>
                <c:pt idx="3">
                  <c:v>68275620</c:v>
                </c:pt>
              </c:numCache>
            </c:numRef>
          </c:val>
        </c:ser>
        <c:gapWidth val="50"/>
        <c:overlap val="100"/>
        <c:axId val="49262596"/>
        <c:axId val="65516393"/>
      </c:barChart>
      <c:catAx>
        <c:axId val="49262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16393"/>
        <c:crosses val="autoZero"/>
        <c:auto val="1"/>
        <c:lblAlgn val="ctr"/>
        <c:lblOffset val="100"/>
        <c:noMultiLvlLbl val="0"/>
      </c:catAx>
      <c:valAx>
        <c:axId val="65516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62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Write-off value by practice area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Pricing_Analysis!J5</c:f>
              <c:strCache>
                <c:ptCount val="1"/>
                <c:pt idx="0">
                  <c:v>Write-off Value</c:v>
                </c:pt>
              </c:strCache>
            </c:strRef>
          </c:tx>
          <c:spPr>
            <a:solidFill>
              <a:srgbClr val="c9a24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Pricing_Analysis!$A$6:$A$11</c:f>
              <c:strCache>
                <c:ptCount val="6"/>
                <c:pt idx="0">
                  <c:v>Private Equity &amp; VC</c:v>
                </c:pt>
                <c:pt idx="1">
                  <c:v>Funds &amp; Asset Mgmt</c:v>
                </c:pt>
                <c:pt idx="2">
                  <c:v>Tax</c:v>
                </c:pt>
                <c:pt idx="3">
                  <c:v>M&amp;A / Transactions</c:v>
                </c:pt>
                <c:pt idx="4">
                  <c:v>Regulatory &amp; Fin. Services</c:v>
                </c:pt>
                <c:pt idx="5">
                  <c:v>Tech &amp; Data</c:v>
                </c:pt>
              </c:strCache>
            </c:strRef>
          </c:cat>
          <c:val>
            <c:numRef>
              <c:f>Pricing_Analysis!$J$6:$J$11</c:f>
              <c:numCache>
                <c:formatCode>#,##0" €"</c:formatCode>
                <c:ptCount val="6"/>
                <c:pt idx="0">
                  <c:v>1405950</c:v>
                </c:pt>
                <c:pt idx="1">
                  <c:v>1071150</c:v>
                </c:pt>
                <c:pt idx="2">
                  <c:v>1054000</c:v>
                </c:pt>
                <c:pt idx="3">
                  <c:v>2363240</c:v>
                </c:pt>
                <c:pt idx="4">
                  <c:v>594270</c:v>
                </c:pt>
                <c:pt idx="5">
                  <c:v>679800</c:v>
                </c:pt>
              </c:numCache>
            </c:numRef>
          </c:val>
        </c:ser>
        <c:gapWidth val="60"/>
        <c:overlap val="0"/>
        <c:axId val="26961831"/>
        <c:axId val="96976217"/>
      </c:barChart>
      <c:catAx>
        <c:axId val="26961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76217"/>
        <c:crosses val="autoZero"/>
        <c:auto val="1"/>
        <c:lblAlgn val="ctr"/>
        <c:lblOffset val="100"/>
        <c:noMultiLvlLbl val="0"/>
      </c:catAx>
      <c:valAx>
        <c:axId val="969762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618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cash flow and cumulative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Business_Case!A17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rgbClr val="1aa6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Business_Case!$B$12:$G$12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Business_Case!$B$17:$G$17</c:f>
              <c:numCache>
                <c:formatCode>#,##0" €"</c:formatCode>
                <c:ptCount val="6"/>
                <c:pt idx="0">
                  <c:v>-650000</c:v>
                </c:pt>
                <c:pt idx="1">
                  <c:v>30000</c:v>
                </c:pt>
                <c:pt idx="2">
                  <c:v>260000</c:v>
                </c:pt>
                <c:pt idx="3">
                  <c:v>500000</c:v>
                </c:pt>
                <c:pt idx="4">
                  <c:v>680000</c:v>
                </c:pt>
                <c:pt idx="5">
                  <c:v>780000</c:v>
                </c:pt>
              </c:numCache>
            </c:numRef>
          </c:val>
        </c:ser>
        <c:gapWidth val="60"/>
        <c:overlap val="0"/>
        <c:axId val="20909826"/>
        <c:axId val="92675670"/>
      </c:barChart>
      <c:lineChart>
        <c:grouping val="standard"/>
        <c:varyColors val="0"/>
        <c:ser>
          <c:idx val="1"/>
          <c:order val="1"/>
          <c:tx>
            <c:strRef>
              <c:f>Business_Case!A18</c:f>
              <c:strCache>
                <c:ptCount val="1"/>
                <c:pt idx="0">
                  <c:v>Cumulative cash flow</c:v>
                </c:pt>
              </c:strCache>
            </c:strRef>
          </c:tx>
          <c:spPr>
            <a:solidFill>
              <a:srgbClr val="10263f"/>
            </a:solidFill>
            <a:ln w="24120">
              <a:solidFill>
                <a:srgbClr val="1026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Business_Case!$B$12:$G$12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Business_Case!$B$18:$G$18</c:f>
              <c:numCache>
                <c:formatCode>#,##0" €"</c:formatCode>
                <c:ptCount val="6"/>
                <c:pt idx="0">
                  <c:v>-650000</c:v>
                </c:pt>
                <c:pt idx="1">
                  <c:v>-620000</c:v>
                </c:pt>
                <c:pt idx="2">
                  <c:v>-360000</c:v>
                </c:pt>
                <c:pt idx="3">
                  <c:v>140000</c:v>
                </c:pt>
                <c:pt idx="4">
                  <c:v>820000</c:v>
                </c:pt>
                <c:pt idx="5">
                  <c:v>1600000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909826"/>
        <c:axId val="92675670"/>
      </c:lineChart>
      <c:catAx>
        <c:axId val="20909826"/>
        <c:scaling>
          <c:orientation val="minMax"/>
        </c:scaling>
        <c:delete val="0"/>
        <c:axPos val="b"/>
        <c:numFmt formatCode="&quot;Year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75670"/>
        <c:crosses val="autoZero"/>
        <c:auto val="1"/>
        <c:lblAlgn val="ctr"/>
        <c:lblOffset val="100"/>
        <c:noMultiLvlLbl val="0"/>
      </c:catAx>
      <c:valAx>
        <c:axId val="92675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098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revenue: budget vs. outlook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Planning_Forecast!G5</c:f>
              <c:strCache>
                <c:ptCount val="1"/>
                <c:pt idx="0">
                  <c:v>Cumulative Budget</c:v>
                </c:pt>
              </c:strCache>
            </c:strRef>
          </c:tx>
          <c:spPr>
            <a:solidFill>
              <a:srgbClr val="c9a24b"/>
            </a:solidFill>
            <a:ln w="28440">
              <a:solidFill>
                <a:srgbClr val="c9a24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Planning_Forecast!$A$6:$A$17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Planning_Forecast!$G$6:$G$17</c:f>
              <c:numCache>
                <c:formatCode>#,##0" €"</c:formatCode>
                <c:ptCount val="12"/>
                <c:pt idx="0">
                  <c:v>4804600</c:v>
                </c:pt>
                <c:pt idx="1">
                  <c:v>10013700</c:v>
                </c:pt>
                <c:pt idx="2">
                  <c:v>16207300</c:v>
                </c:pt>
                <c:pt idx="3">
                  <c:v>21715200</c:v>
                </c:pt>
                <c:pt idx="4">
                  <c:v>27185100</c:v>
                </c:pt>
                <c:pt idx="5">
                  <c:v>33276200</c:v>
                </c:pt>
                <c:pt idx="6">
                  <c:v>38888900</c:v>
                </c:pt>
                <c:pt idx="7">
                  <c:v>43486700</c:v>
                </c:pt>
                <c:pt idx="8">
                  <c:v>49799900</c:v>
                </c:pt>
                <c:pt idx="9">
                  <c:v>56207600</c:v>
                </c:pt>
                <c:pt idx="10">
                  <c:v>62805100</c:v>
                </c:pt>
                <c:pt idx="11">
                  <c:v>68199400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Planning_Forecast!H5</c:f>
              <c:strCache>
                <c:ptCount val="1"/>
                <c:pt idx="0">
                  <c:v>Cumulative Outlook</c:v>
                </c:pt>
              </c:strCache>
            </c:strRef>
          </c:tx>
          <c:spPr>
            <a:solidFill>
              <a:srgbClr val="10263f"/>
            </a:solidFill>
            <a:ln w="24120">
              <a:solidFill>
                <a:srgbClr val="1026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Planning_Forecast!$A$6:$A$17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Planning_Forecast!$H$6:$H$17</c:f>
              <c:numCache>
                <c:formatCode>#,##0" €"</c:formatCode>
                <c:ptCount val="12"/>
                <c:pt idx="0">
                  <c:v>4936880</c:v>
                </c:pt>
                <c:pt idx="1">
                  <c:v>10112740</c:v>
                </c:pt>
                <c:pt idx="2">
                  <c:v>16237800</c:v>
                </c:pt>
                <c:pt idx="3">
                  <c:v>21685010</c:v>
                </c:pt>
                <c:pt idx="4">
                  <c:v>27327420</c:v>
                </c:pt>
                <c:pt idx="5">
                  <c:v>33455010</c:v>
                </c:pt>
                <c:pt idx="6">
                  <c:v>39049900</c:v>
                </c:pt>
                <c:pt idx="7">
                  <c:v>43645740</c:v>
                </c:pt>
                <c:pt idx="8">
                  <c:v>49851700</c:v>
                </c:pt>
                <c:pt idx="9">
                  <c:v>56189860</c:v>
                </c:pt>
                <c:pt idx="10">
                  <c:v>62895880</c:v>
                </c:pt>
                <c:pt idx="11">
                  <c:v>68275620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957670"/>
        <c:axId val="13215156"/>
      </c:lineChart>
      <c:catAx>
        <c:axId val="999576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15156"/>
        <c:crosses val="autoZero"/>
        <c:auto val="1"/>
        <c:lblAlgn val="ctr"/>
        <c:lblOffset val="100"/>
        <c:noMultiLvlLbl val="0"/>
      </c:catAx>
      <c:valAx>
        <c:axId val="13215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576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5</xdr:col>
      <xdr:colOff>642960</xdr:colOff>
      <xdr:row>35</xdr:row>
      <xdr:rowOff>149400</xdr:rowOff>
    </xdr:to>
    <xdr:graphicFrame>
      <xdr:nvGraphicFramePr>
        <xdr:cNvPr id="0" name="Chart 1"/>
        <xdr:cNvGraphicFramePr/>
      </xdr:nvGraphicFramePr>
      <xdr:xfrm>
        <a:off x="176400" y="4124160"/>
        <a:ext cx="5471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10</xdr:col>
      <xdr:colOff>810720</xdr:colOff>
      <xdr:row>35</xdr:row>
      <xdr:rowOff>149400</xdr:rowOff>
    </xdr:to>
    <xdr:graphicFrame>
      <xdr:nvGraphicFramePr>
        <xdr:cNvPr id="1" name="Chart 2"/>
        <xdr:cNvGraphicFramePr/>
      </xdr:nvGraphicFramePr>
      <xdr:xfrm>
        <a:off x="6062400" y="412416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3</xdr:col>
      <xdr:colOff>810360</xdr:colOff>
      <xdr:row>54</xdr:row>
      <xdr:rowOff>181080</xdr:rowOff>
    </xdr:to>
    <xdr:graphicFrame>
      <xdr:nvGraphicFramePr>
        <xdr:cNvPr id="2" name="Chart 3"/>
        <xdr:cNvGraphicFramePr/>
      </xdr:nvGraphicFramePr>
      <xdr:xfrm>
        <a:off x="176400" y="8315280"/>
        <a:ext cx="3383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37</xdr:row>
      <xdr:rowOff>0</xdr:rowOff>
    </xdr:from>
    <xdr:to>
      <xdr:col>10</xdr:col>
      <xdr:colOff>784080</xdr:colOff>
      <xdr:row>54</xdr:row>
      <xdr:rowOff>181080</xdr:rowOff>
    </xdr:to>
    <xdr:graphicFrame>
      <xdr:nvGraphicFramePr>
        <xdr:cNvPr id="3" name="Chart 4"/>
        <xdr:cNvGraphicFramePr/>
      </xdr:nvGraphicFramePr>
      <xdr:xfrm>
        <a:off x="3947760" y="8315280"/>
        <a:ext cx="7127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5</xdr:col>
      <xdr:colOff>642960</xdr:colOff>
      <xdr:row>76</xdr:row>
      <xdr:rowOff>181080</xdr:rowOff>
    </xdr:to>
    <xdr:graphicFrame>
      <xdr:nvGraphicFramePr>
        <xdr:cNvPr id="4" name="Chart 5"/>
        <xdr:cNvGraphicFramePr/>
      </xdr:nvGraphicFramePr>
      <xdr:xfrm>
        <a:off x="176400" y="12506400"/>
        <a:ext cx="5471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59</xdr:row>
      <xdr:rowOff>0</xdr:rowOff>
    </xdr:from>
    <xdr:to>
      <xdr:col>10</xdr:col>
      <xdr:colOff>810720</xdr:colOff>
      <xdr:row>76</xdr:row>
      <xdr:rowOff>181080</xdr:rowOff>
    </xdr:to>
    <xdr:graphicFrame>
      <xdr:nvGraphicFramePr>
        <xdr:cNvPr id="5" name="Chart 6"/>
        <xdr:cNvGraphicFramePr/>
      </xdr:nvGraphicFramePr>
      <xdr:xfrm>
        <a:off x="6062400" y="12506400"/>
        <a:ext cx="50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10080</xdr:colOff>
      <xdr:row>39</xdr:row>
      <xdr:rowOff>21960</xdr:rowOff>
    </xdr:to>
    <xdr:graphicFrame>
      <xdr:nvGraphicFramePr>
        <xdr:cNvPr id="6" name="Chart 1"/>
        <xdr:cNvGraphicFramePr/>
      </xdr:nvGraphicFramePr>
      <xdr:xfrm>
        <a:off x="0" y="49910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18</xdr:col>
      <xdr:colOff>4320</xdr:colOff>
      <xdr:row>17</xdr:row>
      <xdr:rowOff>69840</xdr:rowOff>
    </xdr:to>
    <xdr:graphicFrame>
      <xdr:nvGraphicFramePr>
        <xdr:cNvPr id="7" name="Chart 1"/>
        <xdr:cNvGraphicFramePr/>
      </xdr:nvGraphicFramePr>
      <xdr:xfrm>
        <a:off x="9492480" y="704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20</xdr:row>
      <xdr:rowOff>0</xdr:rowOff>
    </xdr:from>
    <xdr:to>
      <xdr:col>8</xdr:col>
      <xdr:colOff>903600</xdr:colOff>
      <xdr:row>36</xdr:row>
      <xdr:rowOff>11520</xdr:rowOff>
    </xdr:to>
    <xdr:graphicFrame>
      <xdr:nvGraphicFramePr>
        <xdr:cNvPr id="8" name="Chart 1"/>
        <xdr:cNvGraphicFramePr/>
      </xdr:nvGraphicFramePr>
      <xdr:xfrm>
        <a:off x="3594600" y="41814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onthlyData" displayName="MonthlyData" ref="A2:S146" headerRowCount="1" totalsRowCount="0" totalsRowShown="0">
  <autoFilter ref="A2:S146"/>
  <tableColumns count="19">
    <tableColumn id="1" name="Month"/>
    <tableColumn id="2" name="Year"/>
    <tableColumn id="3" name="Month#"/>
    <tableColumn id="4" name="Month Name"/>
    <tableColumn id="5" name="Practice Area"/>
    <tableColumn id="6" name="Type"/>
    <tableColumn id="7" name="FTE"/>
    <tableColumn id="8" name="Available Hours"/>
    <tableColumn id="9" name="Billable Hours"/>
    <tableColumn id="10" name="Invoiced Hours"/>
    <tableColumn id="11" name="Revenue"/>
    <tableColumn id="12" name="Budget Revenue"/>
    <tableColumn id="13" name="Personnel Cost"/>
    <tableColumn id="14" name="Other Cost"/>
    <tableColumn id="15" name="Unbilled WIP (month-end)"/>
    <tableColumn id="16" name="List Rate (EUR/h)"/>
    <tableColumn id="17" name="Value at List Rate"/>
    <tableColumn id="18" name="Write-off Value"/>
    <tableColumn id="19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263F"/>
    <pageSetUpPr fitToPage="tru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5"/>
  </cols>
  <sheetData>
    <row r="2" customFormat="false" ht="39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8" hidden="false" customHeight="true" outlineLevel="0" collapsed="false">
      <c r="B5" s="3"/>
    </row>
    <row r="6" customFormat="false" ht="18" hidden="false" customHeight="true" outlineLevel="0" collapsed="false">
      <c r="B6" s="4" t="s">
        <v>2</v>
      </c>
    </row>
    <row r="7" customFormat="false" ht="18" hidden="false" customHeight="true" outlineLevel="0" collapsed="false">
      <c r="B7" s="3" t="s">
        <v>3</v>
      </c>
    </row>
    <row r="8" customFormat="false" ht="18" hidden="false" customHeight="true" outlineLevel="0" collapsed="false">
      <c r="B8" s="3" t="s">
        <v>4</v>
      </c>
    </row>
    <row r="9" customFormat="false" ht="18" hidden="false" customHeight="true" outlineLevel="0" collapsed="false">
      <c r="B9" s="3"/>
    </row>
    <row r="10" customFormat="false" ht="18" hidden="false" customHeight="true" outlineLevel="0" collapsed="false">
      <c r="B10" s="4" t="s">
        <v>5</v>
      </c>
    </row>
    <row r="11" customFormat="false" ht="18" hidden="false" customHeight="true" outlineLevel="0" collapsed="false">
      <c r="B11" s="3" t="s">
        <v>6</v>
      </c>
    </row>
    <row r="12" customFormat="false" ht="18" hidden="false" customHeight="true" outlineLevel="0" collapsed="false">
      <c r="B12" s="3" t="s">
        <v>7</v>
      </c>
    </row>
    <row r="13" customFormat="false" ht="18" hidden="false" customHeight="true" outlineLevel="0" collapsed="false">
      <c r="B13" s="3" t="s">
        <v>8</v>
      </c>
    </row>
    <row r="14" customFormat="false" ht="18" hidden="false" customHeight="true" outlineLevel="0" collapsed="false">
      <c r="B14" s="3" t="s">
        <v>9</v>
      </c>
    </row>
    <row r="15" customFormat="false" ht="18" hidden="false" customHeight="true" outlineLevel="0" collapsed="false">
      <c r="B15" s="3" t="s">
        <v>10</v>
      </c>
    </row>
    <row r="16" customFormat="false" ht="18" hidden="false" customHeight="true" outlineLevel="0" collapsed="false">
      <c r="B16" s="3" t="s">
        <v>11</v>
      </c>
    </row>
    <row r="17" customFormat="false" ht="18" hidden="false" customHeight="true" outlineLevel="0" collapsed="false">
      <c r="B17" s="3" t="s">
        <v>12</v>
      </c>
    </row>
    <row r="18" customFormat="false" ht="18" hidden="false" customHeight="true" outlineLevel="0" collapsed="false">
      <c r="B18" s="3"/>
    </row>
    <row r="19" customFormat="false" ht="18" hidden="false" customHeight="true" outlineLevel="0" collapsed="false">
      <c r="B19" s="4" t="s">
        <v>13</v>
      </c>
    </row>
    <row r="20" customFormat="false" ht="18" hidden="false" customHeight="true" outlineLevel="0" collapsed="false">
      <c r="B20" s="3" t="s">
        <v>14</v>
      </c>
    </row>
    <row r="21" customFormat="false" ht="18" hidden="false" customHeight="true" outlineLevel="0" collapsed="false">
      <c r="B21" s="3" t="s">
        <v>15</v>
      </c>
    </row>
    <row r="22" customFormat="false" ht="18" hidden="false" customHeight="true" outlineLevel="0" collapsed="false">
      <c r="B22" s="3" t="s">
        <v>16</v>
      </c>
    </row>
    <row r="23" customFormat="false" ht="18" hidden="false" customHeight="true" outlineLevel="0" collapsed="false">
      <c r="B23" s="3" t="s">
        <v>17</v>
      </c>
    </row>
    <row r="24" customFormat="false" ht="18" hidden="false" customHeight="true" outlineLevel="0" collapsed="false">
      <c r="B24" s="3" t="s">
        <v>18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263F"/>
    <pageSetUpPr fitToPage="true"/>
  </sheetPr>
  <dimension ref="A1:L8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0"/>
    <col collapsed="false" customWidth="true" hidden="false" outlineLevel="0" max="3" min="3" style="0" width="16.5"/>
    <col collapsed="false" customWidth="true" hidden="false" outlineLevel="0" max="4" min="4" style="0" width="17"/>
    <col collapsed="false" customWidth="true" hidden="false" outlineLevel="0" max="10" min="5" style="0" width="15"/>
    <col collapsed="false" customWidth="true" hidden="false" outlineLevel="0" max="11" min="11" style="0" width="13"/>
    <col collapsed="false" customWidth="true" hidden="false" outlineLevel="0" max="12" min="12" style="0" width="2.5"/>
  </cols>
  <sheetData>
    <row r="1" customFormat="false" ht="15" hidden="false" customHeight="fals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36" hidden="false" customHeight="true" outlineLevel="0" collapsed="false">
      <c r="A2" s="5"/>
      <c r="B2" s="6" t="s">
        <v>19</v>
      </c>
      <c r="C2" s="6"/>
      <c r="D2" s="6"/>
      <c r="E2" s="6"/>
      <c r="F2" s="6"/>
      <c r="G2" s="6"/>
      <c r="H2" s="6"/>
      <c r="I2" s="6"/>
      <c r="J2" s="6"/>
      <c r="K2" s="6"/>
      <c r="L2" s="5"/>
    </row>
    <row r="3" customFormat="false" ht="19.5" hidden="false" customHeight="true" outlineLevel="0" collapsed="false">
      <c r="A3" s="5"/>
      <c r="B3" s="7" t="s">
        <v>20</v>
      </c>
      <c r="C3" s="7"/>
      <c r="D3" s="7"/>
      <c r="E3" s="7"/>
      <c r="F3" s="7"/>
      <c r="G3" s="7"/>
      <c r="H3" s="7"/>
      <c r="I3" s="7"/>
      <c r="J3" s="7"/>
      <c r="K3" s="7"/>
      <c r="L3" s="5"/>
    </row>
    <row r="4" customFormat="false" ht="19.5" hidden="false" customHeight="true" outlineLevel="0" collapsed="false">
      <c r="A4" s="5"/>
      <c r="B4" s="8" t="str">
        <f aca="false">HYPERLINK("#'README'!A1","ⓘ README")</f>
        <v>ⓘ README</v>
      </c>
      <c r="C4" s="8" t="str">
        <f aca="false">HYPERLINK("#'Pricing_Analysis'!A1","€ PRICING")</f>
        <v>€ PRICING</v>
      </c>
      <c r="D4" s="8" t="str">
        <f aca="false">HYPERLINK("#'Business_Case'!A1","▤ BUSINESS CASE")</f>
        <v>▤ BUSINESS CASE</v>
      </c>
      <c r="E4" s="8" t="str">
        <f aca="false">HYPERLINK("#'Planning_Forecast'!A1","▦ PLANNING")</f>
        <v>▦ PLANNING</v>
      </c>
      <c r="F4" s="8" t="str">
        <f aca="false">HYPERLINK("#'Action_Tracker'!A1","✔ ACTIONS")</f>
        <v>✔ ACTIONS</v>
      </c>
      <c r="G4" s="8" t="str">
        <f aca="false">HYPERLINK("#'BI_Requirements'!A1","▣ BI SPEC")</f>
        <v>▣ BI SPEC</v>
      </c>
      <c r="H4" s="5"/>
      <c r="I4" s="5"/>
      <c r="J4" s="5"/>
      <c r="K4" s="5"/>
      <c r="L4" s="5"/>
    </row>
    <row r="5" customFormat="false" ht="21.75" hidden="false" customHeight="true" outlineLevel="0" collapsed="false">
      <c r="A5" s="5"/>
      <c r="B5" s="9" t="s">
        <v>21</v>
      </c>
      <c r="C5" s="5"/>
      <c r="D5" s="10" t="n">
        <v>2026</v>
      </c>
      <c r="E5" s="10"/>
      <c r="F5" s="5"/>
      <c r="G5" s="9" t="s">
        <v>22</v>
      </c>
      <c r="H5" s="10" t="s">
        <v>23</v>
      </c>
      <c r="I5" s="10"/>
      <c r="J5" s="11" t="s">
        <v>24</v>
      </c>
      <c r="K5" s="5"/>
      <c r="L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5.5" hidden="false" customHeight="true" outlineLevel="0" collapsed="false">
      <c r="A7" s="5"/>
      <c r="B7" s="12" t="s">
        <v>25</v>
      </c>
      <c r="C7" s="12" t="s">
        <v>26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5"/>
    </row>
    <row r="8" customFormat="false" ht="27.75" hidden="false" customHeight="true" outlineLevel="0" collapsed="false">
      <c r="A8" s="5"/>
      <c r="B8" s="13" t="n">
        <f aca="false">Calc_Engine!B4</f>
        <v>68275620</v>
      </c>
      <c r="C8" s="14" t="n">
        <f aca="false">Calc_Engine!B6</f>
        <v>0.00111760514022118</v>
      </c>
      <c r="D8" s="15" t="n">
        <f aca="false">Calc_Engine!B7</f>
        <v>18375090</v>
      </c>
      <c r="E8" s="16" t="n">
        <f aca="false">Calc_Engine!B8</f>
        <v>0.269131060252547</v>
      </c>
      <c r="F8" s="17" t="n">
        <f aca="false">Calc_Engine!B12</f>
        <v>0.684175294537665</v>
      </c>
      <c r="G8" s="17" t="n">
        <f aca="false">Calc_Engine!B13</f>
        <v>0.911020621150424</v>
      </c>
      <c r="H8" s="18" t="n">
        <f aca="false">Calc_Engine!B14</f>
        <v>349.171610342853</v>
      </c>
      <c r="I8" s="19" t="n">
        <f aca="false">Calc_Engine!B15</f>
        <v>182.741666666667</v>
      </c>
      <c r="J8" s="20" t="n">
        <f aca="false">Calc_Engine!B16</f>
        <v>373618.24068585</v>
      </c>
      <c r="K8" s="21" t="n">
        <f aca="false">Calc_Engine!B18</f>
        <v>2869100</v>
      </c>
      <c r="L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24" hidden="false" customHeight="true" outlineLevel="0" collapsed="false">
      <c r="A10" s="5"/>
      <c r="B10" s="22" t="str">
        <f aca="false">"▸  Revenue "&amp;ROUND(Calc_Engine!B4/1000000,1)&amp;" M € ("&amp;IF(Calc_Engine!B6&gt;=0,"+","")&amp;ROUND(Calc_Engine!B6*100,1)&amp;"% vs. budget)  ·  utilization "&amp;ROUND(Calc_Engine!B12*100,0)&amp;"%  ·  realization "&amp;ROUND(Calc_Engine!B13*100,0)&amp;"%  ·  unbilled WIP "&amp;ROUND(Calc_Engine!B18/1000000,1)&amp;" M €"</f>
        <v>▸  Revenue 68.3 M € (+0.1% vs. budget)  ·  utilization 68%  ·  realization 91%  ·  unbilled WIP 2.9 M €</v>
      </c>
      <c r="C10" s="22"/>
      <c r="D10" s="22"/>
      <c r="E10" s="22"/>
      <c r="F10" s="22"/>
      <c r="G10" s="22"/>
      <c r="H10" s="22"/>
      <c r="I10" s="22"/>
      <c r="J10" s="22"/>
      <c r="K10" s="22"/>
      <c r="L10" s="5"/>
    </row>
    <row r="11" customFormat="false" ht="15" hidden="false" customHeight="false" outlineLevel="0" collapsed="false">
      <c r="A11" s="5"/>
      <c r="B11" s="23" t="s">
        <v>35</v>
      </c>
      <c r="C11" s="5"/>
      <c r="D11" s="5"/>
      <c r="E11" s="5"/>
      <c r="F11" s="5"/>
      <c r="G11" s="5"/>
      <c r="H11" s="23" t="s">
        <v>36</v>
      </c>
      <c r="I11" s="5"/>
      <c r="J11" s="5"/>
      <c r="K11" s="5"/>
      <c r="L11" s="5"/>
    </row>
    <row r="12" customFormat="false" ht="45.75" hidden="false" customHeight="true" outlineLevel="0" collapsed="false">
      <c r="A12" s="5"/>
      <c r="B12" s="24" t="str">
        <f aca="false">"Revenue"&amp;CHAR(10)&amp;ROUND(Calc_Engine!B4/1000000,1)&amp;" M €"</f>
        <v>Revenue
68.3 M €</v>
      </c>
      <c r="C12" s="25" t="str">
        <f aca="false">"Personnel"&amp;CHAR(10)&amp;ROUND(-Calc_Engine!B19/1000000,1)&amp;" M €"</f>
        <v>Personnel
-34.9 M €</v>
      </c>
      <c r="D12" s="26" t="str">
        <f aca="false">"Other costs"&amp;CHAR(10)&amp;ROUND(-Calc_Engine!B20/1000000,1)&amp;" M €"</f>
        <v>Other costs
-15 M €</v>
      </c>
      <c r="E12" s="27" t="str">
        <f aca="false">"Profit"&amp;CHAR(10)&amp;ROUND(Calc_Engine!B7/1000000,1)&amp;" M €"</f>
        <v>Profit
18.4 M €</v>
      </c>
      <c r="F12" s="5"/>
      <c r="G12" s="5"/>
      <c r="H12" s="28" t="str">
        <f aca="false">"Utilization  "&amp;REPT("█",ROUND(Calc_Engine!B12*20,0))&amp;" "&amp;ROUND(Calc_Engine!B12*100,0)&amp;"%"&amp;CHAR(10)&amp;"Realization  "&amp;REPT("█",ROUND(Calc_Engine!B13*20,0))&amp;" "&amp;ROUND(Calc_Engine!B13*100,0)&amp;"%"&amp;CHAR(10)&amp;"Write-offs    "&amp;REPT("█",ROUND(Calc_Engine!B22/MAX(1,Calc_Engine!B21)*200,0))&amp;" "&amp;ROUND(Calc_Engine!B22/MAX(1,Calc_Engine!B21)*100,1)&amp;"% of list value"</f>
        <v>Utilization  ██████████████ 68%
Realization  ██████████████████ 91%
Write-offs    ██████████████████ 8.9% of list value</v>
      </c>
      <c r="I12" s="28"/>
      <c r="J12" s="28"/>
      <c r="K12" s="28"/>
      <c r="L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5" hidden="false" customHeight="false" outlineLevel="0" collapsed="false">
      <c r="A15" s="5"/>
      <c r="B15" s="29" t="s">
        <v>37</v>
      </c>
      <c r="C15" s="5"/>
      <c r="D15" s="5"/>
      <c r="E15" s="5"/>
      <c r="F15" s="5"/>
      <c r="G15" s="29" t="s">
        <v>38</v>
      </c>
      <c r="H15" s="5"/>
      <c r="I15" s="5"/>
      <c r="J15" s="5"/>
      <c r="K15" s="5"/>
      <c r="L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15" hidden="false" customHeight="false" outlineLevel="0" collapsed="false">
      <c r="A37" s="5"/>
      <c r="B37" s="29" t="s">
        <v>39</v>
      </c>
      <c r="C37" s="5"/>
      <c r="D37" s="5"/>
      <c r="E37" s="29" t="s">
        <v>40</v>
      </c>
      <c r="F37" s="5"/>
      <c r="G37" s="5"/>
      <c r="H37" s="5"/>
      <c r="I37" s="5"/>
      <c r="J37" s="5"/>
      <c r="K37" s="5"/>
      <c r="L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customFormat="false" ht="15" hidden="false" customHeight="false" outlineLevel="0" collapsed="false">
      <c r="A59" s="5"/>
      <c r="B59" s="29" t="s">
        <v>41</v>
      </c>
      <c r="C59" s="5"/>
      <c r="D59" s="5"/>
      <c r="E59" s="5"/>
      <c r="F59" s="5"/>
      <c r="G59" s="29" t="s">
        <v>42</v>
      </c>
      <c r="H59" s="5"/>
      <c r="I59" s="5"/>
      <c r="J59" s="5"/>
      <c r="K59" s="5"/>
      <c r="L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</sheetData>
  <mergeCells count="6">
    <mergeCell ref="B2:K2"/>
    <mergeCell ref="B3:K3"/>
    <mergeCell ref="D5:E5"/>
    <mergeCell ref="H5:I5"/>
    <mergeCell ref="B10:K10"/>
    <mergeCell ref="H12:K12"/>
  </mergeCells>
  <conditionalFormatting sqref="C8">
    <cfRule type="cellIs" priority="2" operator="lessThan" aboveAverage="0" equalAverage="0" bottom="0" percent="0" rank="0" text="" dxfId="0">
      <formula>0</formula>
    </cfRule>
  </conditionalFormatting>
  <dataValidations count="2">
    <dataValidation allowBlank="false" errorStyle="stop" operator="between" showDropDown="false" showErrorMessage="false" showInputMessage="false" sqref="D5" type="list">
      <formula1>"2025,2026"</formula1>
      <formula2>0</formula2>
    </dataValidation>
    <dataValidation allowBlank="false" errorStyle="stop" operator="between" showDropDown="false" showErrorMessage="false" showInputMessage="false" sqref="H5" type="list">
      <formula1>"All,Private Equity &amp; VC,Funds &amp; Asset Mgmt,Tax,M&amp;A / Transactions,Regulatory &amp; Fin. Services,Tech &amp; Data"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4B"/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5" min="3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4"/>
  </cols>
  <sheetData>
    <row r="1" customFormat="false" ht="25.5" hidden="false" customHeight="true" outlineLevel="0" collapsed="false">
      <c r="A1" s="30" t="s">
        <v>43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customFormat="false" ht="15" hidden="false" customHeight="false" outlineLevel="0" collapsed="false">
      <c r="A2" s="31" t="str">
        <f aca="false">HYPERLINK("#'Dashboard'!A1","◀ Back to Dashboard")</f>
        <v>◀ Back to Dashboard</v>
      </c>
      <c r="C2" s="32" t="str">
        <f aca="false">"Year shown: "&amp;Dashboard!$D$5&amp;"   (change on Dashboard)"</f>
        <v>Year shown: 2026   (change on Dashboard)</v>
      </c>
    </row>
    <row r="4" customFormat="false" ht="15" hidden="false" customHeight="false" outlineLevel="0" collapsed="false">
      <c r="A4" s="33" t="s">
        <v>44</v>
      </c>
    </row>
    <row r="5" customFormat="false" ht="37.5" hidden="false" customHeight="true" outlineLevel="0" collapsed="false">
      <c r="A5" s="34" t="s">
        <v>45</v>
      </c>
      <c r="B5" s="34" t="s">
        <v>46</v>
      </c>
      <c r="C5" s="34" t="s">
        <v>47</v>
      </c>
      <c r="D5" s="34" t="s">
        <v>48</v>
      </c>
      <c r="E5" s="34" t="s">
        <v>49</v>
      </c>
      <c r="F5" s="34" t="s">
        <v>50</v>
      </c>
      <c r="G5" s="34" t="s">
        <v>51</v>
      </c>
      <c r="H5" s="34" t="s">
        <v>52</v>
      </c>
      <c r="I5" s="34" t="s">
        <v>53</v>
      </c>
      <c r="J5" s="34" t="s">
        <v>54</v>
      </c>
      <c r="K5" s="34" t="s">
        <v>55</v>
      </c>
      <c r="L5" s="34" t="s">
        <v>56</v>
      </c>
      <c r="M5" s="34" t="s">
        <v>57</v>
      </c>
      <c r="N5" s="34" t="s">
        <v>58</v>
      </c>
      <c r="O5" s="34" t="s">
        <v>59</v>
      </c>
    </row>
    <row r="6" customFormat="false" ht="15" hidden="false" customHeight="false" outlineLevel="0" collapsed="false">
      <c r="A6" s="35" t="s">
        <v>60</v>
      </c>
      <c r="B6" s="36" t="n">
        <v>390</v>
      </c>
      <c r="C6" s="37" t="n">
        <f aca="false">SUMIFS(Monthly_Data!$I$3:$I$146,Monthly_Data!$B$3:$B$146,Dashboard!$D$5,Monthly_Data!$E$3:$E$146,A6)</f>
        <v>49281</v>
      </c>
      <c r="D6" s="37" t="n">
        <f aca="false">SUMIFS(Monthly_Data!$J$3:$J$146,Monthly_Data!$B$3:$B$146,Dashboard!$D$5,Monthly_Data!$E$3:$E$146,A6)</f>
        <v>45676</v>
      </c>
      <c r="E6" s="38" t="n">
        <f aca="false">IFERROR(D6/C6,0)</f>
        <v>0.926848075323147</v>
      </c>
      <c r="F6" s="39" t="n">
        <f aca="false">SUMIFS(Monthly_Data!$K$3:$K$146,Monthly_Data!$B$3:$B$146,Dashboard!$D$5,Monthly_Data!$E$3:$E$146,A6)</f>
        <v>16911600</v>
      </c>
      <c r="G6" s="40" t="n">
        <f aca="false">IFERROR(F6/D6,0)</f>
        <v>370.251335493476</v>
      </c>
      <c r="H6" s="38" t="n">
        <f aca="false">IFERROR(G6/B6,0)</f>
        <v>0.94936239870122</v>
      </c>
      <c r="I6" s="37" t="n">
        <f aca="false">C6-D6</f>
        <v>3605</v>
      </c>
      <c r="J6" s="39" t="n">
        <f aca="false">SUMIFS(Monthly_Data!$R$3:$R$146,Monthly_Data!$B$3:$B$146,Dashboard!$D$5,Monthly_Data!$E$3:$E$146,A6)</f>
        <v>1405950</v>
      </c>
      <c r="K6" s="39" t="n">
        <f aca="false">SUMIFS(Monthly_Data!$S$3:$S$146,Monthly_Data!$B$3:$B$146,Dashboard!$D$5,Monthly_Data!$E$3:$E$146,A6)</f>
        <v>5676570</v>
      </c>
      <c r="L6" s="38" t="n">
        <f aca="false">IFERROR(K6/F6,0)</f>
        <v>0.335661321223302</v>
      </c>
      <c r="M6" s="39" t="n">
        <f aca="false">SUMIFS(Monthly_Data!$O$3:$O$146,Monthly_Data!$B$3:$B$146,Dashboard!$D$5,Monthly_Data!$C$3:$C$146,Calc_Engine!$B$17,Monthly_Data!$E$3:$E$146,A6)</f>
        <v>586400</v>
      </c>
      <c r="N6" s="39" t="n">
        <f aca="false">C6*MIN(1,E6+$B$17)*B6*(1+$B$16)*H6</f>
        <v>17967588.2061406</v>
      </c>
      <c r="O6" s="39" t="n">
        <f aca="false">N6-F6</f>
        <v>1055988.20614064</v>
      </c>
    </row>
    <row r="7" customFormat="false" ht="15" hidden="false" customHeight="false" outlineLevel="0" collapsed="false">
      <c r="A7" s="35" t="s">
        <v>61</v>
      </c>
      <c r="B7" s="36" t="n">
        <v>370</v>
      </c>
      <c r="C7" s="37" t="n">
        <f aca="false">SUMIFS(Monthly_Data!$I$3:$I$146,Monthly_Data!$B$3:$B$146,Dashboard!$D$5,Monthly_Data!$E$3:$E$146,A7)</f>
        <v>37545</v>
      </c>
      <c r="D7" s="37" t="n">
        <f aca="false">SUMIFS(Monthly_Data!$J$3:$J$146,Monthly_Data!$B$3:$B$146,Dashboard!$D$5,Monthly_Data!$E$3:$E$146,A7)</f>
        <v>34650</v>
      </c>
      <c r="E7" s="38" t="n">
        <f aca="false">IFERROR(D7/C7,0)</f>
        <v>0.922892528965242</v>
      </c>
      <c r="F7" s="39" t="n">
        <f aca="false">SUMIFS(Monthly_Data!$K$3:$K$146,Monthly_Data!$B$3:$B$146,Dashboard!$D$5,Monthly_Data!$E$3:$E$146,A7)</f>
        <v>12110320</v>
      </c>
      <c r="G7" s="40" t="n">
        <f aca="false">IFERROR(F7/D7,0)</f>
        <v>349.504184704185</v>
      </c>
      <c r="H7" s="38" t="n">
        <f aca="false">IFERROR(G7/B7,0)</f>
        <v>0.944605904605905</v>
      </c>
      <c r="I7" s="37" t="n">
        <f aca="false">C7-D7</f>
        <v>2895</v>
      </c>
      <c r="J7" s="39" t="n">
        <f aca="false">SUMIFS(Monthly_Data!$R$3:$R$146,Monthly_Data!$B$3:$B$146,Dashboard!$D$5,Monthly_Data!$E$3:$E$146,A7)</f>
        <v>1071150</v>
      </c>
      <c r="K7" s="39" t="n">
        <f aca="false">SUMIFS(Monthly_Data!$S$3:$S$146,Monthly_Data!$B$3:$B$146,Dashboard!$D$5,Monthly_Data!$E$3:$E$146,A7)</f>
        <v>3279860</v>
      </c>
      <c r="L7" s="38" t="n">
        <f aca="false">IFERROR(K7/F7,0)</f>
        <v>0.270831819472978</v>
      </c>
      <c r="M7" s="39" t="n">
        <f aca="false">SUMIFS(Monthly_Data!$O$3:$O$146,Monthly_Data!$B$3:$B$146,Dashboard!$D$5,Monthly_Data!$C$3:$C$146,Calc_Engine!$B$17,Monthly_Data!$E$3:$E$146,A7)</f>
        <v>662400</v>
      </c>
      <c r="N7" s="39" t="n">
        <f aca="false">C7*MIN(1,E7+$B$17)*B7*(1+$B$16)*H7</f>
        <v>12867673.1999861</v>
      </c>
      <c r="O7" s="39" t="n">
        <f aca="false">N7-F7</f>
        <v>757353.199986147</v>
      </c>
    </row>
    <row r="8" customFormat="false" ht="15" hidden="false" customHeight="false" outlineLevel="0" collapsed="false">
      <c r="A8" s="35" t="s">
        <v>62</v>
      </c>
      <c r="B8" s="36" t="n">
        <v>340</v>
      </c>
      <c r="C8" s="37" t="n">
        <f aca="false">SUMIFS(Monthly_Data!$I$3:$I$146,Monthly_Data!$B$3:$B$146,Dashboard!$D$5,Monthly_Data!$E$3:$E$146,A8)</f>
        <v>31591</v>
      </c>
      <c r="D8" s="37" t="n">
        <f aca="false">SUMIFS(Monthly_Data!$J$3:$J$146,Monthly_Data!$B$3:$B$146,Dashboard!$D$5,Monthly_Data!$E$3:$E$146,A8)</f>
        <v>28491</v>
      </c>
      <c r="E8" s="38" t="n">
        <f aca="false">IFERROR(D8/C8,0)</f>
        <v>0.90187078598335</v>
      </c>
      <c r="F8" s="39" t="n">
        <f aca="false">SUMIFS(Monthly_Data!$K$3:$K$146,Monthly_Data!$B$3:$B$146,Dashboard!$D$5,Monthly_Data!$E$3:$E$146,A8)</f>
        <v>8940620</v>
      </c>
      <c r="G8" s="40" t="n">
        <f aca="false">IFERROR(F8/D8,0)</f>
        <v>313.805061247411</v>
      </c>
      <c r="H8" s="38" t="n">
        <f aca="false">IFERROR(G8/B8,0)</f>
        <v>0.922956062492387</v>
      </c>
      <c r="I8" s="37" t="n">
        <f aca="false">C8-D8</f>
        <v>3100</v>
      </c>
      <c r="J8" s="39" t="n">
        <f aca="false">SUMIFS(Monthly_Data!$R$3:$R$146,Monthly_Data!$B$3:$B$146,Dashboard!$D$5,Monthly_Data!$E$3:$E$146,A8)</f>
        <v>1054000</v>
      </c>
      <c r="K8" s="39" t="n">
        <f aca="false">SUMIFS(Monthly_Data!$S$3:$S$146,Monthly_Data!$B$3:$B$146,Dashboard!$D$5,Monthly_Data!$E$3:$E$146,A8)</f>
        <v>1571200</v>
      </c>
      <c r="L8" s="38" t="n">
        <f aca="false">IFERROR(K8/F8,0)</f>
        <v>0.175737253121148</v>
      </c>
      <c r="M8" s="39" t="n">
        <f aca="false">SUMIFS(Monthly_Data!$O$3:$O$146,Monthly_Data!$B$3:$B$146,Dashboard!$D$5,Monthly_Data!$C$3:$C$146,Calc_Engine!$B$17,Monthly_Data!$E$3:$E$146,A8)</f>
        <v>391200</v>
      </c>
      <c r="N8" s="39" t="n">
        <f aca="false">C8*MIN(1,E8+$B$17)*B8*(1+$B$16)*H8</f>
        <v>9504443.84634923</v>
      </c>
      <c r="O8" s="39" t="n">
        <f aca="false">N8-F8</f>
        <v>563823.846349234</v>
      </c>
    </row>
    <row r="9" customFormat="false" ht="15" hidden="false" customHeight="false" outlineLevel="0" collapsed="false">
      <c r="A9" s="35" t="s">
        <v>63</v>
      </c>
      <c r="B9" s="36" t="n">
        <v>410</v>
      </c>
      <c r="C9" s="37" t="n">
        <f aca="false">SUMIFS(Monthly_Data!$I$3:$I$146,Monthly_Data!$B$3:$B$146,Dashboard!$D$5,Monthly_Data!$E$3:$E$146,A9)</f>
        <v>54617</v>
      </c>
      <c r="D9" s="37" t="n">
        <f aca="false">SUMIFS(Monthly_Data!$J$3:$J$146,Monthly_Data!$B$3:$B$146,Dashboard!$D$5,Monthly_Data!$E$3:$E$146,A9)</f>
        <v>48853</v>
      </c>
      <c r="E9" s="38" t="n">
        <f aca="false">IFERROR(D9/C9,0)</f>
        <v>0.894465093285973</v>
      </c>
      <c r="F9" s="39" t="n">
        <f aca="false">SUMIFS(Monthly_Data!$K$3:$K$146,Monthly_Data!$B$3:$B$146,Dashboard!$D$5,Monthly_Data!$E$3:$E$146,A9)</f>
        <v>17827750</v>
      </c>
      <c r="G9" s="40" t="n">
        <f aca="false">IFERROR(F9/D9,0)</f>
        <v>364.926411888727</v>
      </c>
      <c r="H9" s="38" t="n">
        <f aca="false">IFERROR(G9/B9,0)</f>
        <v>0.890064419240799</v>
      </c>
      <c r="I9" s="37" t="n">
        <f aca="false">C9-D9</f>
        <v>5764</v>
      </c>
      <c r="J9" s="39" t="n">
        <f aca="false">SUMIFS(Monthly_Data!$R$3:$R$146,Monthly_Data!$B$3:$B$146,Dashboard!$D$5,Monthly_Data!$E$3:$E$146,A9)</f>
        <v>2363240</v>
      </c>
      <c r="K9" s="39" t="n">
        <f aca="false">SUMIFS(Monthly_Data!$S$3:$S$146,Monthly_Data!$B$3:$B$146,Dashboard!$D$5,Monthly_Data!$E$3:$E$146,A9)</f>
        <v>5434650</v>
      </c>
      <c r="L9" s="38" t="n">
        <f aca="false">IFERROR(K9/F9,0)</f>
        <v>0.304842170212169</v>
      </c>
      <c r="M9" s="39" t="n">
        <f aca="false">SUMIFS(Monthly_Data!$O$3:$O$146,Monthly_Data!$B$3:$B$146,Dashboard!$D$5,Monthly_Data!$C$3:$C$146,Calc_Engine!$B$17,Monthly_Data!$E$3:$E$146,A9)</f>
        <v>576900</v>
      </c>
      <c r="N9" s="39" t="n">
        <f aca="false">C9*MIN(1,E9+$B$17)*B9*(1+$B$16)*H9</f>
        <v>18955428.665433</v>
      </c>
      <c r="O9" s="39" t="n">
        <f aca="false">N9-F9</f>
        <v>1127678.66543303</v>
      </c>
    </row>
    <row r="10" customFormat="false" ht="15" hidden="false" customHeight="false" outlineLevel="0" collapsed="false">
      <c r="A10" s="35" t="s">
        <v>64</v>
      </c>
      <c r="B10" s="36" t="n">
        <v>355</v>
      </c>
      <c r="C10" s="37" t="n">
        <f aca="false">SUMIFS(Monthly_Data!$I$3:$I$146,Monthly_Data!$B$3:$B$146,Dashboard!$D$5,Monthly_Data!$E$3:$E$146,A10)</f>
        <v>25937</v>
      </c>
      <c r="D10" s="37" t="n">
        <f aca="false">SUMIFS(Monthly_Data!$J$3:$J$146,Monthly_Data!$B$3:$B$146,Dashboard!$D$5,Monthly_Data!$E$3:$E$146,A10)</f>
        <v>24263</v>
      </c>
      <c r="E10" s="38" t="n">
        <f aca="false">IFERROR(D10/C10,0)</f>
        <v>0.935458996799938</v>
      </c>
      <c r="F10" s="39" t="n">
        <f aca="false">SUMIFS(Monthly_Data!$K$3:$K$146,Monthly_Data!$B$3:$B$146,Dashboard!$D$5,Monthly_Data!$E$3:$E$146,A10)</f>
        <v>8324150</v>
      </c>
      <c r="G10" s="40" t="n">
        <f aca="false">IFERROR(F10/D10,0)</f>
        <v>343.079998351399</v>
      </c>
      <c r="H10" s="38" t="n">
        <f aca="false">IFERROR(G10/B10,0)</f>
        <v>0.966422530567322</v>
      </c>
      <c r="I10" s="37" t="n">
        <f aca="false">C10-D10</f>
        <v>1674</v>
      </c>
      <c r="J10" s="39" t="n">
        <f aca="false">SUMIFS(Monthly_Data!$R$3:$R$146,Monthly_Data!$B$3:$B$146,Dashboard!$D$5,Monthly_Data!$E$3:$E$146,A10)</f>
        <v>594270</v>
      </c>
      <c r="K10" s="39" t="n">
        <f aca="false">SUMIFS(Monthly_Data!$S$3:$S$146,Monthly_Data!$B$3:$B$146,Dashboard!$D$5,Monthly_Data!$E$3:$E$146,A10)</f>
        <v>2013360</v>
      </c>
      <c r="L10" s="38" t="n">
        <f aca="false">IFERROR(K10/F10,0)</f>
        <v>0.24186974045398</v>
      </c>
      <c r="M10" s="39" t="n">
        <f aca="false">SUMIFS(Monthly_Data!$O$3:$O$146,Monthly_Data!$B$3:$B$146,Dashboard!$D$5,Monthly_Data!$C$3:$C$146,Calc_Engine!$B$17,Monthly_Data!$E$3:$E$146,A10)</f>
        <v>444500</v>
      </c>
      <c r="N10" s="39" t="n">
        <f aca="false">C10*MIN(1,E10+$B$17)*B10*(1+$B$16)*H10</f>
        <v>8842204.0910786</v>
      </c>
      <c r="O10" s="39" t="n">
        <f aca="false">N10-F10</f>
        <v>518054.091078596</v>
      </c>
    </row>
    <row r="11" customFormat="false" ht="15" hidden="false" customHeight="false" outlineLevel="0" collapsed="false">
      <c r="A11" s="35" t="s">
        <v>65</v>
      </c>
      <c r="B11" s="36" t="n">
        <v>330</v>
      </c>
      <c r="C11" s="37" t="n">
        <f aca="false">SUMIFS(Monthly_Data!$I$3:$I$146,Monthly_Data!$B$3:$B$146,Dashboard!$D$5,Monthly_Data!$E$3:$E$146,A11)</f>
        <v>15663</v>
      </c>
      <c r="D11" s="37" t="n">
        <f aca="false">SUMIFS(Monthly_Data!$J$3:$J$146,Monthly_Data!$B$3:$B$146,Dashboard!$D$5,Monthly_Data!$E$3:$E$146,A11)</f>
        <v>13603</v>
      </c>
      <c r="E11" s="38" t="n">
        <f aca="false">IFERROR(D11/C11,0)</f>
        <v>0.868479856987806</v>
      </c>
      <c r="F11" s="39" t="n">
        <f aca="false">SUMIFS(Monthly_Data!$K$3:$K$146,Monthly_Data!$B$3:$B$146,Dashboard!$D$5,Monthly_Data!$E$3:$E$146,A11)</f>
        <v>4161180</v>
      </c>
      <c r="G11" s="40" t="n">
        <f aca="false">IFERROR(F11/D11,0)</f>
        <v>305.901639344262</v>
      </c>
      <c r="H11" s="38" t="n">
        <f aca="false">IFERROR(G11/B11,0)</f>
        <v>0.926974664679583</v>
      </c>
      <c r="I11" s="37" t="n">
        <f aca="false">C11-D11</f>
        <v>2060</v>
      </c>
      <c r="J11" s="39" t="n">
        <f aca="false">SUMIFS(Monthly_Data!$R$3:$R$146,Monthly_Data!$B$3:$B$146,Dashboard!$D$5,Monthly_Data!$E$3:$E$146,A11)</f>
        <v>679800</v>
      </c>
      <c r="K11" s="39" t="n">
        <f aca="false">SUMIFS(Monthly_Data!$S$3:$S$146,Monthly_Data!$B$3:$B$146,Dashboard!$D$5,Monthly_Data!$E$3:$E$146,A11)</f>
        <v>399450</v>
      </c>
      <c r="L11" s="38" t="n">
        <f aca="false">IFERROR(K11/F11,0)</f>
        <v>0.0959944054330743</v>
      </c>
      <c r="M11" s="39" t="n">
        <f aca="false">SUMIFS(Monthly_Data!$O$3:$O$146,Monthly_Data!$B$3:$B$146,Dashboard!$D$5,Monthly_Data!$C$3:$C$146,Calc_Engine!$B$17,Monthly_Data!$E$3:$E$146,A11)</f>
        <v>207700</v>
      </c>
      <c r="N11" s="39" t="n">
        <f aca="false">C11*MIN(1,E11+$B$17)*B11*(1+$B$16)*H11</f>
        <v>4427287.01744262</v>
      </c>
      <c r="O11" s="39" t="n">
        <f aca="false">N11-F11</f>
        <v>266107.017442623</v>
      </c>
    </row>
    <row r="12" customFormat="false" ht="15" hidden="false" customHeight="false" outlineLevel="0" collapsed="false">
      <c r="A12" s="41" t="s">
        <v>66</v>
      </c>
      <c r="B12" s="42"/>
      <c r="C12" s="43" t="n">
        <f aca="false">SUM(C6:C11)</f>
        <v>214634</v>
      </c>
      <c r="D12" s="43" t="n">
        <f aca="false">SUM(D6:D11)</f>
        <v>195536</v>
      </c>
      <c r="E12" s="44" t="n">
        <f aca="false">IFERROR(D12/C12,0)</f>
        <v>0.911020621150424</v>
      </c>
      <c r="F12" s="45" t="n">
        <f aca="false">SUM(F6:F11)</f>
        <v>68275620</v>
      </c>
      <c r="G12" s="42" t="n">
        <f aca="false">IFERROR(F12/D12,0)</f>
        <v>349.171610342853</v>
      </c>
      <c r="H12" s="44" t="n">
        <f aca="false">IFERROR(G12/SUMPRODUCT(B6:B11,D6:D11)*SUM(D6:D11),0)</f>
        <v>0.929512295351739</v>
      </c>
      <c r="I12" s="43" t="n">
        <f aca="false">SUM(I6:I11)</f>
        <v>19098</v>
      </c>
      <c r="J12" s="45" t="n">
        <f aca="false">SUM(J6:J11)</f>
        <v>7168410</v>
      </c>
      <c r="K12" s="45" t="n">
        <f aca="false">SUM(K6:K11)</f>
        <v>18375090</v>
      </c>
      <c r="L12" s="44" t="n">
        <f aca="false">IFERROR(K12/F12,0)</f>
        <v>0.269131060252547</v>
      </c>
      <c r="M12" s="45" t="n">
        <f aca="false">SUM(M6:M11)</f>
        <v>2869100</v>
      </c>
      <c r="N12" s="45" t="n">
        <f aca="false">SUM(N6:N11)</f>
        <v>72564625.0264303</v>
      </c>
      <c r="O12" s="45" t="n">
        <f aca="false">SUM(O6:O11)</f>
        <v>4289005.02643028</v>
      </c>
    </row>
    <row r="15" customFormat="false" ht="15" hidden="false" customHeight="false" outlineLevel="0" collapsed="false">
      <c r="A15" s="33" t="s">
        <v>67</v>
      </c>
    </row>
    <row r="16" customFormat="false" ht="15" hidden="false" customHeight="false" outlineLevel="0" collapsed="false">
      <c r="A16" s="46" t="s">
        <v>68</v>
      </c>
      <c r="B16" s="47" t="n">
        <v>0.04</v>
      </c>
      <c r="D16" s="32" t="s">
        <v>69</v>
      </c>
    </row>
    <row r="17" customFormat="false" ht="15" hidden="false" customHeight="false" outlineLevel="0" collapsed="false">
      <c r="A17" s="46" t="s">
        <v>70</v>
      </c>
      <c r="B17" s="47" t="n">
        <v>0.02</v>
      </c>
    </row>
    <row r="18" customFormat="false" ht="15" hidden="false" customHeight="false" outlineLevel="0" collapsed="false">
      <c r="A18" s="46" t="s">
        <v>71</v>
      </c>
      <c r="B18" s="47" t="n">
        <v>0.2</v>
      </c>
    </row>
    <row r="20" customFormat="false" ht="15" hidden="false" customHeight="false" outlineLevel="0" collapsed="false">
      <c r="A20" s="46" t="s">
        <v>72</v>
      </c>
      <c r="B20" s="48" t="n">
        <f aca="false">O12</f>
        <v>4289005.02643028</v>
      </c>
    </row>
    <row r="21" customFormat="false" ht="15" hidden="false" customHeight="false" outlineLevel="0" collapsed="false">
      <c r="A21" s="46" t="s">
        <v>73</v>
      </c>
      <c r="B21" s="48" t="n">
        <f aca="false">B20*(1-B18)</f>
        <v>3431204.02114422</v>
      </c>
    </row>
    <row r="22" customFormat="false" ht="15" hidden="false" customHeight="false" outlineLevel="0" collapsed="false">
      <c r="A22" s="46" t="s">
        <v>74</v>
      </c>
      <c r="B22" s="49" t="n">
        <f aca="false">IFERROR(B20/F12,0)</f>
        <v>0.0628189832099698</v>
      </c>
    </row>
  </sheetData>
  <mergeCells count="1">
    <mergeCell ref="A1:O1"/>
  </mergeCells>
  <conditionalFormatting sqref="E6:E11">
    <cfRule type="colorScale" priority="2">
      <colorScale>
        <cfvo type="num" val="0.85"/>
        <cfvo type="num" val="0.91"/>
        <cfvo type="num" val="0.96"/>
        <color rgb="FFF8D7DA"/>
        <color rgb="FFFFF2CC"/>
        <color rgb="FFC6E6D0"/>
      </colorScale>
    </cfRule>
  </conditionalFormatting>
  <conditionalFormatting sqref="H6:H11">
    <cfRule type="colorScale" priority="3">
      <colorScale>
        <cfvo type="num" val="0.85"/>
        <cfvo type="num" val="0.92"/>
        <cfvo type="num" val="0.97"/>
        <color rgb="FFF8D7DA"/>
        <color rgb="FFFFF2CC"/>
        <color rgb="FFC6E6D0"/>
      </colorScale>
    </cfRule>
  </conditionalFormatting>
  <conditionalFormatting sqref="J6:J11">
    <cfRule type="dataBar" priority="4">
      <dataBar showValue="1" minLength="10" maxLength="90">
        <cfvo type="num" val="0"/>
        <cfvo type="max" val="0"/>
        <color rgb="FFC9A24B"/>
      </dataBar>
      <extLst>
        <ext xmlns:x14="http://schemas.microsoft.com/office/spreadsheetml/2009/9/main" uri="{B025F937-C7B1-47D3-B67F-A62EFF666E3E}">
          <x14:id>{97F05520-8626-4C99-B9BF-701B7F536E8D}</x14:id>
        </ext>
      </extLst>
    </cfRule>
  </conditionalFormatting>
  <conditionalFormatting sqref="L6:L11">
    <cfRule type="dataBar" priority="5">
      <dataBar showValue="1" minLength="10" maxLength="90">
        <cfvo type="num" val="0"/>
        <cfvo type="num" val="0.5"/>
        <color rgb="FF1AA6A0"/>
      </dataBar>
      <extLst>
        <ext xmlns:x14="http://schemas.microsoft.com/office/spreadsheetml/2009/9/main" uri="{B025F937-C7B1-47D3-B67F-A62EFF666E3E}">
          <x14:id>{5B24D09F-4764-4EF2-A819-51DB8B8B932D}</x14:id>
        </ext>
      </extLst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F05520-8626-4C99-B9BF-701B7F536E8D}">
            <x14:dataBar minLength="10" maxLength="90" axisPosition="none" gradient="true">
              <x14:cfvo type="num">
                <xm:f>0</xm:f>
              </x14:cfvo>
              <x14:cfvo type="max"/>
              <x14:negativeFillColor rgb="FFC9A24B"/>
              <x14:axisColor rgb="FF000000"/>
            </x14:dataBar>
          </x14:cfRule>
          <xm:sqref>J6:J11</xm:sqref>
        </x14:conditionalFormatting>
        <x14:conditionalFormatting xmlns:xm="http://schemas.microsoft.com/office/excel/2006/main">
          <x14:cfRule type="dataBar" id="{5B24D09F-4764-4EF2-A819-51DB8B8B932D}">
            <x14:dataBar minLength="10" maxLength="90" axisPosition="none" gradient="true">
              <x14:cfvo type="num">
                <xm:f>0</xm:f>
              </x14:cfvo>
              <x14:cfvo type="num">
                <xm:f>0.5</xm:f>
              </x14:cfvo>
              <x14:negativeFillColor rgb="FF1AA6A0"/>
              <x14:axisColor rgb="FF000000"/>
            </x14:dataBar>
          </x14:cfRule>
          <xm:sqref>L6:L11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A6A0"/>
    <pageSetUpPr fitToPage="tru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5"/>
  </cols>
  <sheetData>
    <row r="1" customFormat="false" ht="25.5" hidden="false" customHeight="true" outlineLevel="0" collapsed="false">
      <c r="A1" s="30" t="s">
        <v>75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31" t="str">
        <f aca="false">HYPERLINK("#'Dashboard'!A1","◀ Back to Dashboard")</f>
        <v>◀ Back to Dashboard</v>
      </c>
    </row>
    <row r="4" customFormat="false" ht="15" hidden="false" customHeight="false" outlineLevel="0" collapsed="false">
      <c r="A4" s="33" t="s">
        <v>76</v>
      </c>
    </row>
    <row r="5" customFormat="false" ht="19.5" hidden="false" customHeight="true" outlineLevel="0" collapsed="false">
      <c r="A5" s="46" t="s">
        <v>77</v>
      </c>
      <c r="B5" s="50" t="n">
        <v>650000</v>
      </c>
      <c r="E5" s="34" t="s">
        <v>78</v>
      </c>
      <c r="F5" s="34" t="s">
        <v>79</v>
      </c>
    </row>
    <row r="6" customFormat="false" ht="15" hidden="false" customHeight="false" outlineLevel="0" collapsed="false">
      <c r="A6" s="46" t="s">
        <v>80</v>
      </c>
      <c r="B6" s="50" t="n">
        <v>120000</v>
      </c>
      <c r="E6" s="51" t="s">
        <v>81</v>
      </c>
      <c r="F6" s="52" t="n">
        <v>0.75</v>
      </c>
    </row>
    <row r="7" customFormat="false" ht="15" hidden="false" customHeight="false" outlineLevel="0" collapsed="false">
      <c r="A7" s="46" t="s">
        <v>82</v>
      </c>
      <c r="B7" s="47" t="n">
        <v>0.08</v>
      </c>
      <c r="E7" s="51" t="s">
        <v>83</v>
      </c>
      <c r="F7" s="52" t="n">
        <v>1</v>
      </c>
    </row>
    <row r="8" customFormat="false" ht="15" hidden="false" customHeight="false" outlineLevel="0" collapsed="false">
      <c r="A8" s="46" t="s">
        <v>78</v>
      </c>
      <c r="B8" s="53" t="s">
        <v>83</v>
      </c>
      <c r="E8" s="51" t="s">
        <v>84</v>
      </c>
      <c r="F8" s="52" t="n">
        <v>1.25</v>
      </c>
    </row>
    <row r="9" customFormat="false" ht="15" hidden="false" customHeight="false" outlineLevel="0" collapsed="false">
      <c r="A9" s="46" t="s">
        <v>85</v>
      </c>
      <c r="B9" s="54" t="n">
        <f aca="false">INDEX($F$6:$F$8,MATCH($B$8,$E$6:$E$8,0))</f>
        <v>1</v>
      </c>
    </row>
    <row r="12" customFormat="false" ht="21.75" hidden="false" customHeight="true" outlineLevel="0" collapsed="false">
      <c r="A12" s="34" t="s">
        <v>86</v>
      </c>
      <c r="B12" s="55" t="n">
        <v>0</v>
      </c>
      <c r="C12" s="55" t="n">
        <v>1</v>
      </c>
      <c r="D12" s="55" t="n">
        <v>2</v>
      </c>
      <c r="E12" s="55" t="n">
        <v>3</v>
      </c>
      <c r="F12" s="55" t="n">
        <v>4</v>
      </c>
      <c r="G12" s="55" t="n">
        <v>5</v>
      </c>
    </row>
    <row r="13" customFormat="false" ht="15" hidden="false" customHeight="false" outlineLevel="0" collapsed="false">
      <c r="A13" s="46" t="s">
        <v>87</v>
      </c>
      <c r="B13" s="56" t="n">
        <v>0</v>
      </c>
      <c r="C13" s="56" t="n">
        <v>150000</v>
      </c>
      <c r="D13" s="56" t="n">
        <v>380000</v>
      </c>
      <c r="E13" s="56" t="n">
        <v>620000</v>
      </c>
      <c r="F13" s="56" t="n">
        <v>800000</v>
      </c>
      <c r="G13" s="56" t="n">
        <v>900000</v>
      </c>
    </row>
    <row r="14" customFormat="false" ht="15" hidden="false" customHeight="false" outlineLevel="0" collapsed="false">
      <c r="A14" s="46" t="s">
        <v>88</v>
      </c>
      <c r="B14" s="57" t="n">
        <f aca="false">B13*$B$9</f>
        <v>0</v>
      </c>
      <c r="C14" s="57" t="n">
        <f aca="false">C13*$B$9</f>
        <v>150000</v>
      </c>
      <c r="D14" s="57" t="n">
        <f aca="false">D13*$B$9</f>
        <v>380000</v>
      </c>
      <c r="E14" s="57" t="n">
        <f aca="false">E13*$B$9</f>
        <v>620000</v>
      </c>
      <c r="F14" s="57" t="n">
        <f aca="false">F13*$B$9</f>
        <v>800000</v>
      </c>
      <c r="G14" s="57" t="n">
        <f aca="false">G13*$B$9</f>
        <v>900000</v>
      </c>
    </row>
    <row r="15" customFormat="false" ht="15" hidden="false" customHeight="false" outlineLevel="0" collapsed="false">
      <c r="A15" s="46" t="s">
        <v>89</v>
      </c>
      <c r="B15" s="57" t="n">
        <f aca="false">-IF(B$12&gt;=1,$B$6,0)</f>
        <v>-0</v>
      </c>
      <c r="C15" s="57" t="n">
        <f aca="false">-IF(C$12&gt;=1,$B$6,0)</f>
        <v>-120000</v>
      </c>
      <c r="D15" s="57" t="n">
        <f aca="false">-IF(D$12&gt;=1,$B$6,0)</f>
        <v>-120000</v>
      </c>
      <c r="E15" s="57" t="n">
        <f aca="false">-IF(E$12&gt;=1,$B$6,0)</f>
        <v>-120000</v>
      </c>
      <c r="F15" s="57" t="n">
        <f aca="false">-IF(F$12&gt;=1,$B$6,0)</f>
        <v>-120000</v>
      </c>
      <c r="G15" s="57" t="n">
        <f aca="false">-IF(G$12&gt;=1,$B$6,0)</f>
        <v>-120000</v>
      </c>
    </row>
    <row r="16" customFormat="false" ht="15" hidden="false" customHeight="false" outlineLevel="0" collapsed="false">
      <c r="A16" s="46" t="s">
        <v>90</v>
      </c>
      <c r="B16" s="57" t="n">
        <f aca="false">-IF(B$12=0,$B$5,0)</f>
        <v>-650000</v>
      </c>
      <c r="C16" s="57" t="n">
        <f aca="false">-IF(C$12=0,$B$5,0)</f>
        <v>-0</v>
      </c>
      <c r="D16" s="57" t="n">
        <f aca="false">-IF(D$12=0,$B$5,0)</f>
        <v>-0</v>
      </c>
      <c r="E16" s="57" t="n">
        <f aca="false">-IF(E$12=0,$B$5,0)</f>
        <v>-0</v>
      </c>
      <c r="F16" s="57" t="n">
        <f aca="false">-IF(F$12=0,$B$5,0)</f>
        <v>-0</v>
      </c>
      <c r="G16" s="57" t="n">
        <f aca="false">-IF(G$12=0,$B$5,0)</f>
        <v>-0</v>
      </c>
    </row>
    <row r="17" customFormat="false" ht="15" hidden="false" customHeight="false" outlineLevel="0" collapsed="false">
      <c r="A17" s="58" t="s">
        <v>91</v>
      </c>
      <c r="B17" s="59" t="n">
        <f aca="false">B14+B15+B16</f>
        <v>-650000</v>
      </c>
      <c r="C17" s="59" t="n">
        <f aca="false">C14+C15+C16</f>
        <v>30000</v>
      </c>
      <c r="D17" s="59" t="n">
        <f aca="false">D14+D15+D16</f>
        <v>260000</v>
      </c>
      <c r="E17" s="59" t="n">
        <f aca="false">E14+E15+E16</f>
        <v>500000</v>
      </c>
      <c r="F17" s="59" t="n">
        <f aca="false">F14+F15+F16</f>
        <v>680000</v>
      </c>
      <c r="G17" s="59" t="n">
        <f aca="false">G14+G15+G16</f>
        <v>780000</v>
      </c>
    </row>
    <row r="18" customFormat="false" ht="15" hidden="false" customHeight="false" outlineLevel="0" collapsed="false">
      <c r="A18" s="58" t="s">
        <v>92</v>
      </c>
      <c r="B18" s="59" t="n">
        <f aca="false">B17</f>
        <v>-650000</v>
      </c>
      <c r="C18" s="59" t="n">
        <f aca="false">B18+C17</f>
        <v>-620000</v>
      </c>
      <c r="D18" s="59" t="n">
        <f aca="false">C18+D17</f>
        <v>-360000</v>
      </c>
      <c r="E18" s="59" t="n">
        <f aca="false">D18+E17</f>
        <v>140000</v>
      </c>
      <c r="F18" s="59" t="n">
        <f aca="false">E18+F17</f>
        <v>820000</v>
      </c>
      <c r="G18" s="59" t="n">
        <f aca="false">F18+G17</f>
        <v>1600000</v>
      </c>
    </row>
    <row r="19" customFormat="false" ht="15" hidden="false" customHeight="false" outlineLevel="0" collapsed="false">
      <c r="A19" s="46" t="s">
        <v>93</v>
      </c>
      <c r="B19" s="60" t="n">
        <f aca="false">1/(1+$B$7)^B$12</f>
        <v>1</v>
      </c>
      <c r="C19" s="60" t="n">
        <f aca="false">1/(1+$B$7)^C$12</f>
        <v>0.925925925925926</v>
      </c>
      <c r="D19" s="60" t="n">
        <f aca="false">1/(1+$B$7)^D$12</f>
        <v>0.857338820301783</v>
      </c>
      <c r="E19" s="60" t="n">
        <f aca="false">1/(1+$B$7)^E$12</f>
        <v>0.79383224102017</v>
      </c>
      <c r="F19" s="60" t="n">
        <f aca="false">1/(1+$B$7)^F$12</f>
        <v>0.735029852796453</v>
      </c>
      <c r="G19" s="60" t="n">
        <f aca="false">1/(1+$B$7)^G$12</f>
        <v>0.680583197033753</v>
      </c>
    </row>
    <row r="20" customFormat="false" ht="15" hidden="false" customHeight="false" outlineLevel="0" collapsed="false">
      <c r="A20" s="46" t="s">
        <v>94</v>
      </c>
      <c r="B20" s="57" t="n">
        <f aca="false">B17*B19</f>
        <v>-650000</v>
      </c>
      <c r="C20" s="57" t="n">
        <f aca="false">C17*C19</f>
        <v>27777.7777777778</v>
      </c>
      <c r="D20" s="57" t="n">
        <f aca="false">D17*D19</f>
        <v>222908.093278464</v>
      </c>
      <c r="E20" s="57" t="n">
        <f aca="false">E17*E19</f>
        <v>396916.120510085</v>
      </c>
      <c r="F20" s="57" t="n">
        <f aca="false">F17*F19</f>
        <v>499820.299901588</v>
      </c>
      <c r="G20" s="57" t="n">
        <f aca="false">G17*G19</f>
        <v>530854.893686327</v>
      </c>
    </row>
    <row r="21" customFormat="false" ht="15" hidden="false" customHeight="false" outlineLevel="0" collapsed="false">
      <c r="A21" s="46" t="s">
        <v>95</v>
      </c>
      <c r="B21" s="57" t="n">
        <f aca="false">B20</f>
        <v>-650000</v>
      </c>
      <c r="C21" s="57" t="n">
        <f aca="false">B21+C20</f>
        <v>-622222.222222222</v>
      </c>
      <c r="D21" s="57" t="n">
        <f aca="false">C21+D20</f>
        <v>-399314.128943759</v>
      </c>
      <c r="E21" s="57" t="n">
        <f aca="false">D21+E20</f>
        <v>-2398.00843367382</v>
      </c>
      <c r="F21" s="57" t="n">
        <f aca="false">E21+F20</f>
        <v>497422.291467914</v>
      </c>
      <c r="G21" s="57" t="n">
        <f aca="false">F21+G20</f>
        <v>1028277.18515424</v>
      </c>
    </row>
    <row r="22" customFormat="false" ht="15" hidden="false" customHeight="false" outlineLevel="0" collapsed="false">
      <c r="A22" s="46" t="s">
        <v>96</v>
      </c>
      <c r="B22" s="61" t="str">
        <f aca="false">""</f>
        <v/>
      </c>
      <c r="C22" s="61" t="str">
        <f aca="false">IF(AND(C18&gt;=0,B18&lt;0),B$12+(-B18)/C17,"")</f>
        <v/>
      </c>
      <c r="D22" s="61" t="str">
        <f aca="false">IF(AND(D18&gt;=0,C18&lt;0),C$12+(-C18)/D17,"")</f>
        <v/>
      </c>
      <c r="E22" s="61" t="n">
        <f aca="false">IF(AND(E18&gt;=0,D18&lt;0),D$12+(-D18)/E17,"")</f>
        <v>2.72</v>
      </c>
      <c r="F22" s="61" t="str">
        <f aca="false">IF(AND(F18&gt;=0,E18&lt;0),E$12+(-E18)/F17,"")</f>
        <v/>
      </c>
      <c r="G22" s="61" t="str">
        <f aca="false">IF(AND(G18&gt;=0,F18&lt;0),F$12+(-F18)/G17,"")</f>
        <v/>
      </c>
    </row>
    <row r="25" customFormat="false" ht="15" hidden="false" customHeight="false" outlineLevel="0" collapsed="false">
      <c r="A25" s="33" t="s">
        <v>97</v>
      </c>
    </row>
    <row r="26" customFormat="false" ht="15" hidden="false" customHeight="false" outlineLevel="0" collapsed="false">
      <c r="A26" s="46" t="s">
        <v>98</v>
      </c>
      <c r="B26" s="62" t="n">
        <f aca="false">SUM(B20:G20)</f>
        <v>1028277.18515424</v>
      </c>
    </row>
    <row r="27" customFormat="false" ht="15" hidden="false" customHeight="false" outlineLevel="0" collapsed="false">
      <c r="A27" s="46" t="s">
        <v>99</v>
      </c>
      <c r="B27" s="63" t="n">
        <f aca="false">IFERROR(IRR(B17:G17),"n/a")</f>
        <v>0.405194897859402</v>
      </c>
    </row>
    <row r="28" customFormat="false" ht="15" hidden="false" customHeight="false" outlineLevel="0" collapsed="false">
      <c r="A28" s="46" t="s">
        <v>100</v>
      </c>
      <c r="B28" s="63" t="n">
        <f aca="false">SUM(B17:G17)/$B$5</f>
        <v>2.46153846153846</v>
      </c>
    </row>
    <row r="29" customFormat="false" ht="15" hidden="false" customHeight="false" outlineLevel="0" collapsed="false">
      <c r="A29" s="46" t="s">
        <v>101</v>
      </c>
      <c r="B29" s="64" t="n">
        <f aca="false">IF(COUNT(C22:G22)=0,"&gt; 5",MIN(C22:G22))</f>
        <v>2.72</v>
      </c>
    </row>
    <row r="32" customFormat="false" ht="15" hidden="false" customHeight="false" outlineLevel="0" collapsed="false">
      <c r="A32" s="33" t="s">
        <v>102</v>
      </c>
    </row>
    <row r="33" customFormat="false" ht="15" hidden="false" customHeight="false" outlineLevel="0" collapsed="false">
      <c r="A33" s="32" t="s">
        <v>103</v>
      </c>
      <c r="B33" s="65" t="n">
        <v>0.06</v>
      </c>
      <c r="C33" s="65" t="n">
        <v>0.08</v>
      </c>
      <c r="D33" s="65" t="n">
        <v>0.1</v>
      </c>
      <c r="E33" s="65" t="n">
        <v>0.12</v>
      </c>
    </row>
    <row r="34" customFormat="false" ht="15" hidden="false" customHeight="false" outlineLevel="0" collapsed="false">
      <c r="A34" s="66" t="n">
        <v>0.5</v>
      </c>
      <c r="B34" s="57" t="n">
        <f aca="false">-$B$5+SUMPRODUCT(($C$13:$G$13*$A34-$B$6)/(1+B$33)^$C$12:$G$12)</f>
        <v>-2243.99285910057</v>
      </c>
      <c r="C34" s="57" t="n">
        <f aca="false">-$B$5+SUMPRODUCT(($C$13:$G$13*$A34-$B$6)/(1+C$33)^$C$12:$G$12)</f>
        <v>-50424.0096475643</v>
      </c>
      <c r="D34" s="57" t="n">
        <f aca="false">-$B$5+SUMPRODUCT(($C$13:$G$13*$A34-$B$6)/(1+D$33)^$C$12:$G$12)</f>
        <v>-94160.2349566289</v>
      </c>
      <c r="E34" s="57" t="n">
        <f aca="false">-$B$5+SUMPRODUCT(($C$13:$G$13*$A34-$B$6)/(1+E$33)^$C$12:$G$12)</f>
        <v>-133940.828574962</v>
      </c>
    </row>
    <row r="35" customFormat="false" ht="15" hidden="false" customHeight="false" outlineLevel="0" collapsed="false">
      <c r="A35" s="66" t="n">
        <v>0.75</v>
      </c>
      <c r="B35" s="57" t="n">
        <f aca="false">-$B$5+SUMPRODUCT(($C$13:$G$13*$A35-$B$6)/(1+B$33)^$C$12:$G$12)</f>
        <v>574375.837845292</v>
      </c>
      <c r="C35" s="57" t="n">
        <f aca="false">-$B$5+SUMPRODUCT(($C$13:$G$13*$A35-$B$6)/(1+C$33)^$C$12:$G$12)</f>
        <v>488926.587753339</v>
      </c>
      <c r="D35" s="57" t="n">
        <f aca="false">-$B$5+SUMPRODUCT(($C$13:$G$13*$A35-$B$6)/(1+D$33)^$C$12:$G$12)</f>
        <v>411206.853729564</v>
      </c>
      <c r="E35" s="57" t="n">
        <f aca="false">-$B$5+SUMPRODUCT(($C$13:$G$13*$A35-$B$6)/(1+E$33)^$C$12:$G$12)</f>
        <v>340375.329278258</v>
      </c>
    </row>
    <row r="36" customFormat="false" ht="15" hidden="false" customHeight="false" outlineLevel="0" collapsed="false">
      <c r="A36" s="66" t="n">
        <v>1</v>
      </c>
      <c r="B36" s="57" t="n">
        <f aca="false">-$B$5+SUMPRODUCT(($C$13:$G$13*$A36-$B$6)/(1+B$33)^$C$12:$G$12)</f>
        <v>1150995.66854968</v>
      </c>
      <c r="C36" s="57" t="n">
        <f aca="false">-$B$5+SUMPRODUCT(($C$13:$G$13*$A36-$B$6)/(1+C$33)^$C$12:$G$12)</f>
        <v>1028277.18515424</v>
      </c>
      <c r="D36" s="57" t="n">
        <f aca="false">-$B$5+SUMPRODUCT(($C$13:$G$13*$A36-$B$6)/(1+D$33)^$C$12:$G$12)</f>
        <v>916573.942415756</v>
      </c>
      <c r="E36" s="57" t="n">
        <f aca="false">-$B$5+SUMPRODUCT(($C$13:$G$13*$A36-$B$6)/(1+E$33)^$C$12:$G$12)</f>
        <v>814691.487131477</v>
      </c>
    </row>
    <row r="37" customFormat="false" ht="15" hidden="false" customHeight="false" outlineLevel="0" collapsed="false">
      <c r="A37" s="66" t="n">
        <v>1.25</v>
      </c>
      <c r="B37" s="57" t="n">
        <f aca="false">-$B$5+SUMPRODUCT(($C$13:$G$13*$A37-$B$6)/(1+B$33)^$C$12:$G$12)</f>
        <v>1727615.49925408</v>
      </c>
      <c r="C37" s="57" t="n">
        <f aca="false">-$B$5+SUMPRODUCT(($C$13:$G$13*$A37-$B$6)/(1+C$33)^$C$12:$G$12)</f>
        <v>1567627.78255514</v>
      </c>
      <c r="D37" s="57" t="n">
        <f aca="false">-$B$5+SUMPRODUCT(($C$13:$G$13*$A37-$B$6)/(1+D$33)^$C$12:$G$12)</f>
        <v>1421941.03110195</v>
      </c>
      <c r="E37" s="57" t="n">
        <f aca="false">-$B$5+SUMPRODUCT(($C$13:$G$13*$A37-$B$6)/(1+E$33)^$C$12:$G$12)</f>
        <v>1289007.6449847</v>
      </c>
    </row>
    <row r="38" customFormat="false" ht="15" hidden="false" customHeight="false" outlineLevel="0" collapsed="false">
      <c r="A38" s="66" t="n">
        <v>1.5</v>
      </c>
      <c r="B38" s="57" t="n">
        <f aca="false">-$B$5+SUMPRODUCT(($C$13:$G$13*$A38-$B$6)/(1+B$33)^$C$12:$G$12)</f>
        <v>2304235.32995847</v>
      </c>
      <c r="C38" s="57" t="n">
        <f aca="false">-$B$5+SUMPRODUCT(($C$13:$G$13*$A38-$B$6)/(1+C$33)^$C$12:$G$12)</f>
        <v>2106978.37995605</v>
      </c>
      <c r="D38" s="57" t="n">
        <f aca="false">-$B$5+SUMPRODUCT(($C$13:$G$13*$A38-$B$6)/(1+D$33)^$C$12:$G$12)</f>
        <v>1927308.11978814</v>
      </c>
      <c r="E38" s="57" t="n">
        <f aca="false">-$B$5+SUMPRODUCT(($C$13:$G$13*$A38-$B$6)/(1+E$33)^$C$12:$G$12)</f>
        <v>1763323.80283792</v>
      </c>
    </row>
  </sheetData>
  <mergeCells count="1">
    <mergeCell ref="A1:I1"/>
  </mergeCells>
  <conditionalFormatting sqref="B26">
    <cfRule type="cellIs" priority="2" operator="lessThan" aboveAverage="0" equalAverage="0" bottom="0" percent="0" rank="0" text="" dxfId="1">
      <formula>0</formula>
    </cfRule>
  </conditionalFormatting>
  <conditionalFormatting sqref="B34:E38">
    <cfRule type="colorScale" priority="3">
      <colorScale>
        <cfvo type="min" val="0"/>
        <cfvo type="num" val="0"/>
        <cfvo type="max" val="0"/>
        <color rgb="FFF4B6B6"/>
        <color rgb="FFFFFFFF"/>
        <color rgb="FF9AD9B0"/>
      </colorScale>
    </cfRule>
  </conditionalFormatting>
  <dataValidations count="1">
    <dataValidation allowBlank="false" errorStyle="stop" operator="between" showDropDown="false" showErrorMessage="false" showInputMessage="false" sqref="B8" type="list">
      <formula1>"Conservative,Base,Optimistic"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tru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30" t="s">
        <v>104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false" outlineLevel="0" collapsed="false">
      <c r="A2" s="31" t="str">
        <f aca="false">HYPERLINK("#'Dashboard'!A1","◀ Back to Dashboard")</f>
        <v>◀ Back to Dashboard</v>
      </c>
      <c r="C2" s="32" t="s">
        <v>105</v>
      </c>
    </row>
    <row r="5" customFormat="false" ht="33.75" hidden="false" customHeight="true" outlineLevel="0" collapsed="false">
      <c r="A5" s="34" t="s">
        <v>106</v>
      </c>
      <c r="B5" s="34" t="s">
        <v>107</v>
      </c>
      <c r="C5" s="34" t="s">
        <v>108</v>
      </c>
      <c r="D5" s="34" t="s">
        <v>109</v>
      </c>
      <c r="E5" s="34" t="s">
        <v>110</v>
      </c>
      <c r="F5" s="34" t="s">
        <v>111</v>
      </c>
      <c r="G5" s="34" t="s">
        <v>112</v>
      </c>
      <c r="H5" s="34" t="s">
        <v>113</v>
      </c>
      <c r="I5" s="34" t="s">
        <v>55</v>
      </c>
      <c r="J5" s="34" t="s">
        <v>56</v>
      </c>
      <c r="K5" s="34" t="s">
        <v>47</v>
      </c>
    </row>
    <row r="6" customFormat="false" ht="15" hidden="false" customHeight="false" outlineLevel="0" collapsed="false">
      <c r="A6" s="35" t="s">
        <v>114</v>
      </c>
      <c r="B6" s="35" t="str">
        <f aca="false">IF(COUNTIFS(Monthly_Data!$B$3:$B$146,2026,Monthly_Data!$C$3:$C$146,1,Monthly_Data!$F$3:$F$146,"Actual")&gt;0,"Actual","Forecast")</f>
        <v>Actual</v>
      </c>
      <c r="C6" s="67" t="n">
        <f aca="false">SUMIFS(Monthly_Data!$L$3:$L$146,Monthly_Data!$B$3:$B$146,2026,Monthly_Data!$C$3:$C$146,1)</f>
        <v>4804600</v>
      </c>
      <c r="D6" s="67" t="n">
        <f aca="false">SUMIFS(Monthly_Data!$K$3:$K$146,Monthly_Data!$B$3:$B$146,2026,Monthly_Data!$C$3:$C$146,1)</f>
        <v>4936880</v>
      </c>
      <c r="E6" s="67" t="n">
        <f aca="false">D6-C6</f>
        <v>132280</v>
      </c>
      <c r="F6" s="68" t="n">
        <f aca="false">IFERROR(E6/C6,0)</f>
        <v>0.0275319485493069</v>
      </c>
      <c r="G6" s="67" t="n">
        <f aca="false">C6</f>
        <v>4804600</v>
      </c>
      <c r="H6" s="67" t="n">
        <f aca="false">D6</f>
        <v>4936880</v>
      </c>
      <c r="I6" s="67" t="n">
        <f aca="false">SUMIFS(Monthly_Data!$S$3:$S$146,Monthly_Data!$B$3:$B$146,2026,Monthly_Data!$C$3:$C$146,1)</f>
        <v>991720</v>
      </c>
      <c r="J6" s="69" t="n">
        <f aca="false">IFERROR(I6/D6,0)</f>
        <v>0.200879907958063</v>
      </c>
      <c r="K6" s="70" t="n">
        <f aca="false">SUMIFS(Monthly_Data!$I$3:$I$146,Monthly_Data!$B$3:$B$146,2026,Monthly_Data!$C$3:$C$146,1)</f>
        <v>15472</v>
      </c>
    </row>
    <row r="7" customFormat="false" ht="15" hidden="false" customHeight="false" outlineLevel="0" collapsed="false">
      <c r="A7" s="35" t="s">
        <v>115</v>
      </c>
      <c r="B7" s="35" t="str">
        <f aca="false">IF(COUNTIFS(Monthly_Data!$B$3:$B$146,2026,Monthly_Data!$C$3:$C$146,2,Monthly_Data!$F$3:$F$146,"Actual")&gt;0,"Actual","Forecast")</f>
        <v>Actual</v>
      </c>
      <c r="C7" s="67" t="n">
        <f aca="false">SUMIFS(Monthly_Data!$L$3:$L$146,Monthly_Data!$B$3:$B$146,2026,Monthly_Data!$C$3:$C$146,2)</f>
        <v>5209100</v>
      </c>
      <c r="D7" s="67" t="n">
        <f aca="false">SUMIFS(Monthly_Data!$K$3:$K$146,Monthly_Data!$B$3:$B$146,2026,Monthly_Data!$C$3:$C$146,2)</f>
        <v>5175860</v>
      </c>
      <c r="E7" s="67" t="n">
        <f aca="false">D7-C7</f>
        <v>-33240</v>
      </c>
      <c r="F7" s="68" t="n">
        <f aca="false">IFERROR(E7/C7,0)</f>
        <v>-0.00638114069608954</v>
      </c>
      <c r="G7" s="67" t="n">
        <f aca="false">G6+C7</f>
        <v>10013700</v>
      </c>
      <c r="H7" s="67" t="n">
        <f aca="false">H6+D7</f>
        <v>10112740</v>
      </c>
      <c r="I7" s="67" t="n">
        <f aca="false">SUMIFS(Monthly_Data!$S$3:$S$146,Monthly_Data!$B$3:$B$146,2026,Monthly_Data!$C$3:$C$146,2)</f>
        <v>1160960</v>
      </c>
      <c r="J7" s="69" t="n">
        <f aca="false">IFERROR(I7/D7,0)</f>
        <v>0.224302821173679</v>
      </c>
      <c r="K7" s="70" t="n">
        <f aca="false">SUMIFS(Monthly_Data!$I$3:$I$146,Monthly_Data!$B$3:$B$146,2026,Monthly_Data!$C$3:$C$146,2)</f>
        <v>16611</v>
      </c>
    </row>
    <row r="8" customFormat="false" ht="15" hidden="false" customHeight="false" outlineLevel="0" collapsed="false">
      <c r="A8" s="35" t="s">
        <v>116</v>
      </c>
      <c r="B8" s="35" t="str">
        <f aca="false">IF(COUNTIFS(Monthly_Data!$B$3:$B$146,2026,Monthly_Data!$C$3:$C$146,3,Monthly_Data!$F$3:$F$146,"Actual")&gt;0,"Actual","Forecast")</f>
        <v>Actual</v>
      </c>
      <c r="C8" s="67" t="n">
        <f aca="false">SUMIFS(Monthly_Data!$L$3:$L$146,Monthly_Data!$B$3:$B$146,2026,Monthly_Data!$C$3:$C$146,3)</f>
        <v>6193600</v>
      </c>
      <c r="D8" s="67" t="n">
        <f aca="false">SUMIFS(Monthly_Data!$K$3:$K$146,Monthly_Data!$B$3:$B$146,2026,Monthly_Data!$C$3:$C$146,3)</f>
        <v>6125060</v>
      </c>
      <c r="E8" s="67" t="n">
        <f aca="false">D8-C8</f>
        <v>-68540</v>
      </c>
      <c r="F8" s="68" t="n">
        <f aca="false">IFERROR(E8/C8,0)</f>
        <v>-0.0110662619478171</v>
      </c>
      <c r="G8" s="67" t="n">
        <f aca="false">G7+C8</f>
        <v>16207300</v>
      </c>
      <c r="H8" s="67" t="n">
        <f aca="false">H7+D8</f>
        <v>16237800</v>
      </c>
      <c r="I8" s="67" t="n">
        <f aca="false">SUMIFS(Monthly_Data!$S$3:$S$146,Monthly_Data!$B$3:$B$146,2026,Monthly_Data!$C$3:$C$146,3)</f>
        <v>1930170</v>
      </c>
      <c r="J8" s="69" t="n">
        <f aca="false">IFERROR(I8/D8,0)</f>
        <v>0.315126708962851</v>
      </c>
      <c r="K8" s="70" t="n">
        <f aca="false">SUMIFS(Monthly_Data!$I$3:$I$146,Monthly_Data!$B$3:$B$146,2026,Monthly_Data!$C$3:$C$146,3)</f>
        <v>19269</v>
      </c>
    </row>
    <row r="9" customFormat="false" ht="15" hidden="false" customHeight="false" outlineLevel="0" collapsed="false">
      <c r="A9" s="35" t="s">
        <v>117</v>
      </c>
      <c r="B9" s="35" t="str">
        <f aca="false">IF(COUNTIFS(Monthly_Data!$B$3:$B$146,2026,Monthly_Data!$C$3:$C$146,4,Monthly_Data!$F$3:$F$146,"Actual")&gt;0,"Actual","Forecast")</f>
        <v>Actual</v>
      </c>
      <c r="C9" s="67" t="n">
        <f aca="false">SUMIFS(Monthly_Data!$L$3:$L$146,Monthly_Data!$B$3:$B$146,2026,Monthly_Data!$C$3:$C$146,4)</f>
        <v>5507900</v>
      </c>
      <c r="D9" s="67" t="n">
        <f aca="false">SUMIFS(Monthly_Data!$K$3:$K$146,Monthly_Data!$B$3:$B$146,2026,Monthly_Data!$C$3:$C$146,4)</f>
        <v>5447210</v>
      </c>
      <c r="E9" s="67" t="n">
        <f aca="false">D9-C9</f>
        <v>-60690</v>
      </c>
      <c r="F9" s="68" t="n">
        <f aca="false">IFERROR(E9/C9,0)</f>
        <v>-0.0110187185678752</v>
      </c>
      <c r="G9" s="67" t="n">
        <f aca="false">G8+C9</f>
        <v>21715200</v>
      </c>
      <c r="H9" s="67" t="n">
        <f aca="false">H8+D9</f>
        <v>21685010</v>
      </c>
      <c r="I9" s="67" t="n">
        <f aca="false">SUMIFS(Monthly_Data!$S$3:$S$146,Monthly_Data!$B$3:$B$146,2026,Monthly_Data!$C$3:$C$146,4)</f>
        <v>1355140</v>
      </c>
      <c r="J9" s="69" t="n">
        <f aca="false">IFERROR(I9/D9,0)</f>
        <v>0.248776896796709</v>
      </c>
      <c r="K9" s="70" t="n">
        <f aca="false">SUMIFS(Monthly_Data!$I$3:$I$146,Monthly_Data!$B$3:$B$146,2026,Monthly_Data!$C$3:$C$146,4)</f>
        <v>16945</v>
      </c>
    </row>
    <row r="10" customFormat="false" ht="15" hidden="false" customHeight="false" outlineLevel="0" collapsed="false">
      <c r="A10" s="35" t="s">
        <v>118</v>
      </c>
      <c r="B10" s="35" t="str">
        <f aca="false">IF(COUNTIFS(Monthly_Data!$B$3:$B$146,2026,Monthly_Data!$C$3:$C$146,5,Monthly_Data!$F$3:$F$146,"Actual")&gt;0,"Actual","Forecast")</f>
        <v>Actual</v>
      </c>
      <c r="C10" s="67" t="n">
        <f aca="false">SUMIFS(Monthly_Data!$L$3:$L$146,Monthly_Data!$B$3:$B$146,2026,Monthly_Data!$C$3:$C$146,5)</f>
        <v>5469900</v>
      </c>
      <c r="D10" s="67" t="n">
        <f aca="false">SUMIFS(Monthly_Data!$K$3:$K$146,Monthly_Data!$B$3:$B$146,2026,Monthly_Data!$C$3:$C$146,5)</f>
        <v>5642410</v>
      </c>
      <c r="E10" s="67" t="n">
        <f aca="false">D10-C10</f>
        <v>172510</v>
      </c>
      <c r="F10" s="68" t="n">
        <f aca="false">IFERROR(E10/C10,0)</f>
        <v>0.0315380537121337</v>
      </c>
      <c r="G10" s="67" t="n">
        <f aca="false">G9+C10</f>
        <v>27185100</v>
      </c>
      <c r="H10" s="67" t="n">
        <f aca="false">H9+D10</f>
        <v>27327420</v>
      </c>
      <c r="I10" s="67" t="n">
        <f aca="false">SUMIFS(Monthly_Data!$S$3:$S$146,Monthly_Data!$B$3:$B$146,2026,Monthly_Data!$C$3:$C$146,5)</f>
        <v>1560020</v>
      </c>
      <c r="J10" s="69" t="n">
        <f aca="false">IFERROR(I10/D10,0)</f>
        <v>0.276481149012567</v>
      </c>
      <c r="K10" s="70" t="n">
        <f aca="false">SUMIFS(Monthly_Data!$I$3:$I$146,Monthly_Data!$B$3:$B$146,2026,Monthly_Data!$C$3:$C$146,5)</f>
        <v>17657</v>
      </c>
    </row>
    <row r="11" customFormat="false" ht="15" hidden="false" customHeight="false" outlineLevel="0" collapsed="false">
      <c r="A11" s="35" t="s">
        <v>119</v>
      </c>
      <c r="B11" s="35" t="str">
        <f aca="false">IF(COUNTIFS(Monthly_Data!$B$3:$B$146,2026,Monthly_Data!$C$3:$C$146,6,Monthly_Data!$F$3:$F$146,"Actual")&gt;0,"Actual","Forecast")</f>
        <v>Actual</v>
      </c>
      <c r="C11" s="67" t="n">
        <f aca="false">SUMIFS(Monthly_Data!$L$3:$L$146,Monthly_Data!$B$3:$B$146,2026,Monthly_Data!$C$3:$C$146,6)</f>
        <v>6091100</v>
      </c>
      <c r="D11" s="67" t="n">
        <f aca="false">SUMIFS(Monthly_Data!$K$3:$K$146,Monthly_Data!$B$3:$B$146,2026,Monthly_Data!$C$3:$C$146,6)</f>
        <v>6127590</v>
      </c>
      <c r="E11" s="67" t="n">
        <f aca="false">D11-C11</f>
        <v>36490</v>
      </c>
      <c r="F11" s="68" t="n">
        <f aca="false">IFERROR(E11/C11,0)</f>
        <v>0.00599070775393607</v>
      </c>
      <c r="G11" s="67" t="n">
        <f aca="false">G10+C11</f>
        <v>33276200</v>
      </c>
      <c r="H11" s="67" t="n">
        <f aca="false">H10+D11</f>
        <v>33455010</v>
      </c>
      <c r="I11" s="67" t="n">
        <f aca="false">SUMIFS(Monthly_Data!$S$3:$S$146,Monthly_Data!$B$3:$B$146,2026,Monthly_Data!$C$3:$C$146,6)</f>
        <v>1867840</v>
      </c>
      <c r="J11" s="69" t="n">
        <f aca="false">IFERROR(I11/D11,0)</f>
        <v>0.304824572140107</v>
      </c>
      <c r="K11" s="70" t="n">
        <f aca="false">SUMIFS(Monthly_Data!$I$3:$I$146,Monthly_Data!$B$3:$B$146,2026,Monthly_Data!$C$3:$C$146,6)</f>
        <v>19105</v>
      </c>
    </row>
    <row r="12" customFormat="false" ht="15" hidden="false" customHeight="false" outlineLevel="0" collapsed="false">
      <c r="A12" s="35" t="s">
        <v>120</v>
      </c>
      <c r="B12" s="35" t="str">
        <f aca="false">IF(COUNTIFS(Monthly_Data!$B$3:$B$146,2026,Monthly_Data!$C$3:$C$146,7,Monthly_Data!$F$3:$F$146,"Actual")&gt;0,"Actual","Forecast")</f>
        <v>Actual</v>
      </c>
      <c r="C12" s="67" t="n">
        <f aca="false">SUMIFS(Monthly_Data!$L$3:$L$146,Monthly_Data!$B$3:$B$146,2026,Monthly_Data!$C$3:$C$146,7)</f>
        <v>5612700</v>
      </c>
      <c r="D12" s="67" t="n">
        <f aca="false">SUMIFS(Monthly_Data!$K$3:$K$146,Monthly_Data!$B$3:$B$146,2026,Monthly_Data!$C$3:$C$146,7)</f>
        <v>5594890</v>
      </c>
      <c r="E12" s="67" t="n">
        <f aca="false">D12-C12</f>
        <v>-17810</v>
      </c>
      <c r="F12" s="68" t="n">
        <f aca="false">IFERROR(E12/C12,0)</f>
        <v>-0.00317316086731876</v>
      </c>
      <c r="G12" s="67" t="n">
        <f aca="false">G11+C12</f>
        <v>38888900</v>
      </c>
      <c r="H12" s="67" t="n">
        <f aca="false">H11+D12</f>
        <v>39049900</v>
      </c>
      <c r="I12" s="67" t="n">
        <f aca="false">SUMIFS(Monthly_Data!$S$3:$S$146,Monthly_Data!$B$3:$B$146,2026,Monthly_Data!$C$3:$C$146,7)</f>
        <v>1453400</v>
      </c>
      <c r="J12" s="69" t="n">
        <f aca="false">IFERROR(I12/D12,0)</f>
        <v>0.25977275692641</v>
      </c>
      <c r="K12" s="70" t="n">
        <f aca="false">SUMIFS(Monthly_Data!$I$3:$I$146,Monthly_Data!$B$3:$B$146,2026,Monthly_Data!$C$3:$C$146,7)</f>
        <v>17850</v>
      </c>
    </row>
    <row r="13" customFormat="false" ht="15" hidden="false" customHeight="false" outlineLevel="0" collapsed="false">
      <c r="A13" s="35" t="s">
        <v>121</v>
      </c>
      <c r="B13" s="35" t="str">
        <f aca="false">IF(COUNTIFS(Monthly_Data!$B$3:$B$146,2026,Monthly_Data!$C$3:$C$146,8,Monthly_Data!$F$3:$F$146,"Actual")&gt;0,"Actual","Forecast")</f>
        <v>Actual</v>
      </c>
      <c r="C13" s="67" t="n">
        <f aca="false">SUMIFS(Monthly_Data!$L$3:$L$146,Monthly_Data!$B$3:$B$146,2026,Monthly_Data!$C$3:$C$146,8)</f>
        <v>4597800</v>
      </c>
      <c r="D13" s="67" t="n">
        <f aca="false">SUMIFS(Monthly_Data!$K$3:$K$146,Monthly_Data!$B$3:$B$146,2026,Monthly_Data!$C$3:$C$146,8)</f>
        <v>4595840</v>
      </c>
      <c r="E13" s="67" t="n">
        <f aca="false">D13-C13</f>
        <v>-1960</v>
      </c>
      <c r="F13" s="68" t="n">
        <f aca="false">IFERROR(E13/C13,0)</f>
        <v>-0.000426290834747053</v>
      </c>
      <c r="G13" s="67" t="n">
        <f aca="false">G12+C13</f>
        <v>43486700</v>
      </c>
      <c r="H13" s="67" t="n">
        <f aca="false">H12+D13</f>
        <v>43645740</v>
      </c>
      <c r="I13" s="67" t="n">
        <f aca="false">SUMIFS(Monthly_Data!$S$3:$S$146,Monthly_Data!$B$3:$B$146,2026,Monthly_Data!$C$3:$C$146,8)</f>
        <v>635870</v>
      </c>
      <c r="J13" s="69" t="n">
        <f aca="false">IFERROR(I13/D13,0)</f>
        <v>0.138357732209999</v>
      </c>
      <c r="K13" s="70" t="n">
        <f aca="false">SUMIFS(Monthly_Data!$I$3:$I$146,Monthly_Data!$B$3:$B$146,2026,Monthly_Data!$C$3:$C$146,8)</f>
        <v>14502</v>
      </c>
    </row>
    <row r="14" customFormat="false" ht="15" hidden="false" customHeight="false" outlineLevel="0" collapsed="false">
      <c r="A14" s="35" t="s">
        <v>122</v>
      </c>
      <c r="B14" s="35" t="str">
        <f aca="false">IF(COUNTIFS(Monthly_Data!$B$3:$B$146,2026,Monthly_Data!$C$3:$C$146,9,Monthly_Data!$F$3:$F$146,"Actual")&gt;0,"Actual","Forecast")</f>
        <v>Actual</v>
      </c>
      <c r="C14" s="67" t="n">
        <f aca="false">SUMIFS(Monthly_Data!$L$3:$L$146,Monthly_Data!$B$3:$B$146,2026,Monthly_Data!$C$3:$C$146,9)</f>
        <v>6313200</v>
      </c>
      <c r="D14" s="67" t="n">
        <f aca="false">SUMIFS(Monthly_Data!$K$3:$K$146,Monthly_Data!$B$3:$B$146,2026,Monthly_Data!$C$3:$C$146,9)</f>
        <v>6205960</v>
      </c>
      <c r="E14" s="67" t="n">
        <f aca="false">D14-C14</f>
        <v>-107240</v>
      </c>
      <c r="F14" s="68" t="n">
        <f aca="false">IFERROR(E14/C14,0)</f>
        <v>-0.0169866311854527</v>
      </c>
      <c r="G14" s="67" t="n">
        <f aca="false">G13+C14</f>
        <v>49799900</v>
      </c>
      <c r="H14" s="67" t="n">
        <f aca="false">H13+D14</f>
        <v>49851700</v>
      </c>
      <c r="I14" s="67" t="n">
        <f aca="false">SUMIFS(Monthly_Data!$S$3:$S$146,Monthly_Data!$B$3:$B$146,2026,Monthly_Data!$C$3:$C$146,9)</f>
        <v>1927550</v>
      </c>
      <c r="J14" s="69" t="n">
        <f aca="false">IFERROR(I14/D14,0)</f>
        <v>0.310596587796248</v>
      </c>
      <c r="K14" s="70" t="n">
        <f aca="false">SUMIFS(Monthly_Data!$I$3:$I$146,Monthly_Data!$B$3:$B$146,2026,Monthly_Data!$C$3:$C$146,9)</f>
        <v>19415</v>
      </c>
    </row>
    <row r="15" customFormat="false" ht="15" hidden="false" customHeight="false" outlineLevel="0" collapsed="false">
      <c r="A15" s="35" t="s">
        <v>123</v>
      </c>
      <c r="B15" s="35" t="str">
        <f aca="false">IF(COUNTIFS(Monthly_Data!$B$3:$B$146,2026,Monthly_Data!$C$3:$C$146,10,Monthly_Data!$F$3:$F$146,"Actual")&gt;0,"Actual","Forecast")</f>
        <v>Forecast</v>
      </c>
      <c r="C15" s="67" t="n">
        <f aca="false">SUMIFS(Monthly_Data!$L$3:$L$146,Monthly_Data!$B$3:$B$146,2026,Monthly_Data!$C$3:$C$146,10)</f>
        <v>6407700</v>
      </c>
      <c r="D15" s="67" t="n">
        <f aca="false">SUMIFS(Monthly_Data!$K$3:$K$146,Monthly_Data!$B$3:$B$146,2026,Monthly_Data!$C$3:$C$146,10)</f>
        <v>6338160</v>
      </c>
      <c r="E15" s="67" t="n">
        <f aca="false">D15-C15</f>
        <v>-69540</v>
      </c>
      <c r="F15" s="68" t="n">
        <f aca="false">IFERROR(E15/C15,0)</f>
        <v>-0.01085256800412</v>
      </c>
      <c r="G15" s="67" t="n">
        <f aca="false">G14+C15</f>
        <v>56207600</v>
      </c>
      <c r="H15" s="67" t="n">
        <f aca="false">H14+D15</f>
        <v>56189860</v>
      </c>
      <c r="I15" s="67" t="n">
        <f aca="false">SUMIFS(Monthly_Data!$S$3:$S$146,Monthly_Data!$B$3:$B$146,2026,Monthly_Data!$C$3:$C$146,10)</f>
        <v>1916370</v>
      </c>
      <c r="J15" s="69" t="n">
        <f aca="false">IFERROR(I15/D15,0)</f>
        <v>0.302354311030331</v>
      </c>
      <c r="K15" s="70" t="n">
        <f aca="false">SUMIFS(Monthly_Data!$I$3:$I$146,Monthly_Data!$B$3:$B$146,2026,Monthly_Data!$C$3:$C$146,10)</f>
        <v>20078</v>
      </c>
    </row>
    <row r="16" customFormat="false" ht="15" hidden="false" customHeight="false" outlineLevel="0" collapsed="false">
      <c r="A16" s="35" t="s">
        <v>124</v>
      </c>
      <c r="B16" s="35" t="str">
        <f aca="false">IF(COUNTIFS(Monthly_Data!$B$3:$B$146,2026,Monthly_Data!$C$3:$C$146,11,Monthly_Data!$F$3:$F$146,"Actual")&gt;0,"Actual","Forecast")</f>
        <v>Forecast</v>
      </c>
      <c r="C16" s="67" t="n">
        <f aca="false">SUMIFS(Monthly_Data!$L$3:$L$146,Monthly_Data!$B$3:$B$146,2026,Monthly_Data!$C$3:$C$146,11)</f>
        <v>6597500</v>
      </c>
      <c r="D16" s="67" t="n">
        <f aca="false">SUMIFS(Monthly_Data!$K$3:$K$146,Monthly_Data!$B$3:$B$146,2026,Monthly_Data!$C$3:$C$146,11)</f>
        <v>6706020</v>
      </c>
      <c r="E16" s="67" t="n">
        <f aca="false">D16-C16</f>
        <v>108520</v>
      </c>
      <c r="F16" s="68" t="n">
        <f aca="false">IFERROR(E16/C16,0)</f>
        <v>0.0164486547934824</v>
      </c>
      <c r="G16" s="67" t="n">
        <f aca="false">G15+C16</f>
        <v>62805100</v>
      </c>
      <c r="H16" s="67" t="n">
        <f aca="false">H15+D16</f>
        <v>62895880</v>
      </c>
      <c r="I16" s="67" t="n">
        <f aca="false">SUMIFS(Monthly_Data!$S$3:$S$146,Monthly_Data!$B$3:$B$146,2026,Monthly_Data!$C$3:$C$146,11)</f>
        <v>2357250</v>
      </c>
      <c r="J16" s="69" t="n">
        <f aca="false">IFERROR(I16/D16,0)</f>
        <v>0.351512521585083</v>
      </c>
      <c r="K16" s="70" t="n">
        <f aca="false">SUMIFS(Monthly_Data!$I$3:$I$146,Monthly_Data!$B$3:$B$146,2026,Monthly_Data!$C$3:$C$146,11)</f>
        <v>20949</v>
      </c>
    </row>
    <row r="17" customFormat="false" ht="15" hidden="false" customHeight="false" outlineLevel="0" collapsed="false">
      <c r="A17" s="35" t="s">
        <v>125</v>
      </c>
      <c r="B17" s="35" t="str">
        <f aca="false">IF(COUNTIFS(Monthly_Data!$B$3:$B$146,2026,Monthly_Data!$C$3:$C$146,12,Monthly_Data!$F$3:$F$146,"Actual")&gt;0,"Actual","Forecast")</f>
        <v>Forecast</v>
      </c>
      <c r="C17" s="67" t="n">
        <f aca="false">SUMIFS(Monthly_Data!$L$3:$L$146,Monthly_Data!$B$3:$B$146,2026,Monthly_Data!$C$3:$C$146,12)</f>
        <v>5394300</v>
      </c>
      <c r="D17" s="67" t="n">
        <f aca="false">SUMIFS(Monthly_Data!$K$3:$K$146,Monthly_Data!$B$3:$B$146,2026,Monthly_Data!$C$3:$C$146,12)</f>
        <v>5379740</v>
      </c>
      <c r="E17" s="67" t="n">
        <f aca="false">D17-C17</f>
        <v>-14560</v>
      </c>
      <c r="F17" s="68" t="n">
        <f aca="false">IFERROR(E17/C17,0)</f>
        <v>-0.00269914539421241</v>
      </c>
      <c r="G17" s="67" t="n">
        <f aca="false">G16+C17</f>
        <v>68199400</v>
      </c>
      <c r="H17" s="67" t="n">
        <f aca="false">H16+D17</f>
        <v>68275620</v>
      </c>
      <c r="I17" s="67" t="n">
        <f aca="false">SUMIFS(Monthly_Data!$S$3:$S$146,Monthly_Data!$B$3:$B$146,2026,Monthly_Data!$C$3:$C$146,12)</f>
        <v>1218800</v>
      </c>
      <c r="J17" s="69" t="n">
        <f aca="false">IFERROR(I17/D17,0)</f>
        <v>0.226553699621171</v>
      </c>
      <c r="K17" s="70" t="n">
        <f aca="false">SUMIFS(Monthly_Data!$I$3:$I$146,Monthly_Data!$B$3:$B$146,2026,Monthly_Data!$C$3:$C$146,12)</f>
        <v>16781</v>
      </c>
    </row>
    <row r="18" customFormat="false" ht="15" hidden="false" customHeight="false" outlineLevel="0" collapsed="false">
      <c r="A18" s="41" t="s">
        <v>126</v>
      </c>
      <c r="B18" s="41"/>
      <c r="C18" s="71" t="n">
        <f aca="false">SUM(C6:C17)</f>
        <v>68199400</v>
      </c>
      <c r="D18" s="71" t="n">
        <f aca="false">SUM(D6:D17)</f>
        <v>68275620</v>
      </c>
      <c r="E18" s="71" t="n">
        <f aca="false">SUM(E6:E17)</f>
        <v>76220</v>
      </c>
      <c r="F18" s="72" t="n">
        <f aca="false">IFERROR(E18/C18,0)</f>
        <v>0.00111760514022118</v>
      </c>
      <c r="G18" s="71"/>
      <c r="H18" s="71"/>
      <c r="I18" s="71" t="n">
        <f aca="false">SUM(I6:I17)</f>
        <v>18375090</v>
      </c>
      <c r="J18" s="73" t="n">
        <f aca="false">IFERROR(I18/D18,0)</f>
        <v>0.269131060252547</v>
      </c>
      <c r="K18" s="74" t="n">
        <f aca="false">SUM(K6:K17)</f>
        <v>214634</v>
      </c>
    </row>
    <row r="21" customFormat="false" ht="15" hidden="false" customHeight="false" outlineLevel="0" collapsed="false">
      <c r="A21" s="33" t="s">
        <v>127</v>
      </c>
    </row>
    <row r="22" customFormat="false" ht="15" hidden="false" customHeight="false" outlineLevel="0" collapsed="false">
      <c r="A22" s="46" t="s">
        <v>128</v>
      </c>
      <c r="B22" s="75" t="n">
        <f aca="false">C18</f>
        <v>68199400</v>
      </c>
    </row>
    <row r="23" customFormat="false" ht="15" hidden="false" customHeight="false" outlineLevel="0" collapsed="false">
      <c r="A23" s="46" t="s">
        <v>129</v>
      </c>
      <c r="B23" s="75" t="n">
        <f aca="false">SUMIFS(D6:D17,B6:B17,"Actual")</f>
        <v>49851700</v>
      </c>
    </row>
    <row r="24" customFormat="false" ht="15" hidden="false" customHeight="false" outlineLevel="0" collapsed="false">
      <c r="A24" s="46" t="s">
        <v>130</v>
      </c>
      <c r="B24" s="75" t="n">
        <f aca="false">SUMIFS(D6:D17,B6:B17,"Forecast")</f>
        <v>18423920</v>
      </c>
    </row>
    <row r="25" customFormat="false" ht="15" hidden="false" customHeight="false" outlineLevel="0" collapsed="false">
      <c r="A25" s="46" t="s">
        <v>131</v>
      </c>
      <c r="B25" s="75" t="n">
        <f aca="false">B23+B24</f>
        <v>68275620</v>
      </c>
    </row>
    <row r="26" customFormat="false" ht="15" hidden="false" customHeight="false" outlineLevel="0" collapsed="false">
      <c r="A26" s="46" t="s">
        <v>132</v>
      </c>
      <c r="B26" s="75" t="n">
        <f aca="false">B25-B22</f>
        <v>76220</v>
      </c>
    </row>
    <row r="27" customFormat="false" ht="15" hidden="false" customHeight="false" outlineLevel="0" collapsed="false">
      <c r="A27" s="46" t="s">
        <v>133</v>
      </c>
      <c r="B27" s="76" t="n">
        <f aca="false">IFERROR(B26/B22,0)</f>
        <v>0.00111760514022118</v>
      </c>
    </row>
    <row r="28" customFormat="false" ht="15" hidden="false" customHeight="false" outlineLevel="0" collapsed="false">
      <c r="A28" s="46" t="s">
        <v>134</v>
      </c>
      <c r="B28" s="75" t="n">
        <f aca="false">I18</f>
        <v>18375090</v>
      </c>
    </row>
    <row r="29" customFormat="false" ht="15" hidden="false" customHeight="false" outlineLevel="0" collapsed="false">
      <c r="A29" s="46" t="s">
        <v>135</v>
      </c>
      <c r="B29" s="77" t="n">
        <f aca="false">J18</f>
        <v>0.269131060252547</v>
      </c>
    </row>
  </sheetData>
  <mergeCells count="1">
    <mergeCell ref="A1:K1"/>
  </mergeCells>
  <conditionalFormatting sqref="A6:K17">
    <cfRule type="expression" priority="2" aboveAverage="0" equalAverage="0" bottom="0" percent="0" rank="0" text="" dxfId="2">
      <formula>$B6="Forecast"</formula>
    </cfRule>
  </conditionalFormatting>
  <conditionalFormatting sqref="F6:F17">
    <cfRule type="colorScale" priority="3">
      <colorScale>
        <cfvo type="num" val="-0.1"/>
        <cfvo type="num" val="0"/>
        <cfvo type="num" val="0.1"/>
        <color rgb="FFF4B6B6"/>
        <color rgb="FFFFFFFF"/>
        <color rgb="FF9AD9B0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30" t="s">
        <v>136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31" t="str">
        <f aca="false">HYPERLINK("#'Dashboard'!A1","◀ Back to Dashboard")</f>
        <v>◀ Back to Dashboard</v>
      </c>
    </row>
    <row r="4" customFormat="false" ht="33.75" hidden="false" customHeight="true" outlineLevel="0" collapsed="false">
      <c r="A4" s="34" t="s">
        <v>137</v>
      </c>
      <c r="B4" s="34" t="s">
        <v>45</v>
      </c>
      <c r="C4" s="34" t="s">
        <v>138</v>
      </c>
      <c r="D4" s="34" t="s">
        <v>139</v>
      </c>
      <c r="E4" s="34" t="s">
        <v>140</v>
      </c>
      <c r="F4" s="34" t="s">
        <v>141</v>
      </c>
      <c r="G4" s="34" t="s">
        <v>142</v>
      </c>
      <c r="H4" s="34" t="s">
        <v>143</v>
      </c>
    </row>
    <row r="5" customFormat="false" ht="31.5" hidden="false" customHeight="true" outlineLevel="0" collapsed="false">
      <c r="A5" s="78" t="n">
        <v>1</v>
      </c>
      <c r="B5" s="78" t="s">
        <v>65</v>
      </c>
      <c r="C5" s="78" t="s">
        <v>144</v>
      </c>
      <c r="D5" s="78" t="s">
        <v>145</v>
      </c>
      <c r="E5" s="78" t="s">
        <v>146</v>
      </c>
      <c r="F5" s="79" t="n">
        <v>46341</v>
      </c>
      <c r="G5" s="80" t="s">
        <v>147</v>
      </c>
      <c r="H5" s="81" t="n">
        <v>180000</v>
      </c>
    </row>
    <row r="6" customFormat="false" ht="31.5" hidden="false" customHeight="true" outlineLevel="0" collapsed="false">
      <c r="A6" s="78" t="n">
        <v>2</v>
      </c>
      <c r="B6" s="78" t="s">
        <v>65</v>
      </c>
      <c r="C6" s="78" t="s">
        <v>148</v>
      </c>
      <c r="D6" s="78" t="s">
        <v>149</v>
      </c>
      <c r="E6" s="78" t="s">
        <v>146</v>
      </c>
      <c r="F6" s="79" t="n">
        <v>46357</v>
      </c>
      <c r="G6" s="80" t="s">
        <v>150</v>
      </c>
      <c r="H6" s="81" t="n">
        <v>150000</v>
      </c>
    </row>
    <row r="7" customFormat="false" ht="31.5" hidden="false" customHeight="true" outlineLevel="0" collapsed="false">
      <c r="A7" s="78" t="n">
        <v>3</v>
      </c>
      <c r="B7" s="78" t="s">
        <v>63</v>
      </c>
      <c r="C7" s="78" t="s">
        <v>151</v>
      </c>
      <c r="D7" s="78" t="s">
        <v>152</v>
      </c>
      <c r="E7" s="78" t="s">
        <v>153</v>
      </c>
      <c r="F7" s="79" t="n">
        <v>46356</v>
      </c>
      <c r="G7" s="80" t="s">
        <v>150</v>
      </c>
      <c r="H7" s="81" t="n">
        <v>320000</v>
      </c>
    </row>
    <row r="8" customFormat="false" ht="31.5" hidden="false" customHeight="true" outlineLevel="0" collapsed="false">
      <c r="A8" s="78" t="n">
        <v>4</v>
      </c>
      <c r="B8" s="78" t="s">
        <v>62</v>
      </c>
      <c r="C8" s="78" t="s">
        <v>154</v>
      </c>
      <c r="D8" s="78" t="s">
        <v>155</v>
      </c>
      <c r="E8" s="78" t="s">
        <v>156</v>
      </c>
      <c r="F8" s="79" t="n">
        <v>46326</v>
      </c>
      <c r="G8" s="80" t="s">
        <v>147</v>
      </c>
      <c r="H8" s="81" t="n">
        <v>90000</v>
      </c>
    </row>
    <row r="9" customFormat="false" ht="31.5" hidden="false" customHeight="true" outlineLevel="0" collapsed="false">
      <c r="A9" s="78" t="n">
        <v>5</v>
      </c>
      <c r="B9" s="78" t="s">
        <v>64</v>
      </c>
      <c r="C9" s="78" t="s">
        <v>157</v>
      </c>
      <c r="D9" s="78" t="s">
        <v>158</v>
      </c>
      <c r="E9" s="78" t="s">
        <v>159</v>
      </c>
      <c r="F9" s="79" t="n">
        <v>46418</v>
      </c>
      <c r="G9" s="80" t="s">
        <v>150</v>
      </c>
      <c r="H9" s="81" t="n">
        <v>60000</v>
      </c>
    </row>
    <row r="10" customFormat="false" ht="31.5" hidden="false" customHeight="true" outlineLevel="0" collapsed="false">
      <c r="A10" s="78" t="n">
        <v>6</v>
      </c>
      <c r="B10" s="78" t="s">
        <v>60</v>
      </c>
      <c r="C10" s="78" t="s">
        <v>160</v>
      </c>
      <c r="D10" s="78" t="s">
        <v>161</v>
      </c>
      <c r="E10" s="78" t="s">
        <v>162</v>
      </c>
      <c r="F10" s="79" t="n">
        <v>46371</v>
      </c>
      <c r="G10" s="80" t="s">
        <v>163</v>
      </c>
      <c r="H10" s="81" t="n">
        <v>410000</v>
      </c>
    </row>
    <row r="13" customFormat="false" ht="15" hidden="false" customHeight="false" outlineLevel="0" collapsed="false">
      <c r="A13" s="46" t="s">
        <v>164</v>
      </c>
      <c r="H13" s="75" t="n">
        <f aca="false">SUM(H5:H10)</f>
        <v>1210000</v>
      </c>
    </row>
    <row r="14" customFormat="false" ht="15" hidden="false" customHeight="false" outlineLevel="0" collapsed="false">
      <c r="A14" s="46" t="s">
        <v>165</v>
      </c>
      <c r="H14" s="75" t="n">
        <f aca="false">SUMIFS(H5:H10,G5:G10,"Done")</f>
        <v>410000</v>
      </c>
    </row>
    <row r="15" customFormat="false" ht="15" hidden="false" customHeight="false" outlineLevel="0" collapsed="false">
      <c r="A15" s="46" t="s">
        <v>166</v>
      </c>
      <c r="H15" s="82" t="n">
        <f aca="false">IFERROR(H14/H13,0)</f>
        <v>0.338842975206612</v>
      </c>
    </row>
  </sheetData>
  <mergeCells count="1">
    <mergeCell ref="A1:H1"/>
  </mergeCells>
  <conditionalFormatting sqref="G5:G10">
    <cfRule type="expression" priority="2" aboveAverage="0" equalAverage="0" bottom="0" percent="0" rank="0" text="" dxfId="3">
      <formula>G5="Done"</formula>
    </cfRule>
    <cfRule type="expression" priority="3" aboveAverage="0" equalAverage="0" bottom="0" percent="0" rank="0" text="" dxfId="4">
      <formula>G5="In progress"</formula>
    </cfRule>
    <cfRule type="expression" priority="4" aboveAverage="0" equalAverage="0" bottom="0" percent="0" rank="0" text="" dxfId="5">
      <formula>G5="Open"</formula>
    </cfRule>
  </conditionalFormatting>
  <dataValidations count="1">
    <dataValidation allowBlank="false" errorStyle="stop" operator="between" showDropDown="false" showErrorMessage="false" showInputMessage="false" sqref="G5:G10" type="list">
      <formula1>"Open,In progress,Done"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30" t="s">
        <v>167</v>
      </c>
      <c r="B1" s="30"/>
      <c r="C1" s="30"/>
      <c r="D1" s="30"/>
      <c r="E1" s="30"/>
      <c r="F1" s="30"/>
      <c r="G1" s="30"/>
    </row>
    <row r="2" customFormat="false" ht="15" hidden="false" customHeight="false" outlineLevel="0" collapsed="false">
      <c r="A2" s="31" t="str">
        <f aca="false">HYPERLINK("#'Dashboard'!A1","◀ Back to Dashboard")</f>
        <v>◀ Back to Dashboard</v>
      </c>
    </row>
    <row r="4" customFormat="false" ht="25.5" hidden="false" customHeight="true" outlineLevel="0" collapsed="false">
      <c r="A4" s="34" t="s">
        <v>168</v>
      </c>
      <c r="B4" s="34" t="s">
        <v>169</v>
      </c>
      <c r="C4" s="34" t="s">
        <v>170</v>
      </c>
      <c r="D4" s="34" t="s">
        <v>171</v>
      </c>
      <c r="E4" s="34" t="s">
        <v>172</v>
      </c>
      <c r="F4" s="34" t="s">
        <v>173</v>
      </c>
      <c r="G4" s="34" t="s">
        <v>174</v>
      </c>
    </row>
    <row r="5" customFormat="false" ht="33.75" hidden="false" customHeight="true" outlineLevel="0" collapsed="false">
      <c r="A5" s="83" t="s">
        <v>175</v>
      </c>
      <c r="B5" s="84" t="s">
        <v>176</v>
      </c>
      <c r="C5" s="84" t="s">
        <v>177</v>
      </c>
      <c r="D5" s="84" t="s">
        <v>178</v>
      </c>
      <c r="E5" s="84" t="s">
        <v>179</v>
      </c>
      <c r="F5" s="84" t="s">
        <v>180</v>
      </c>
      <c r="G5" s="84" t="s">
        <v>181</v>
      </c>
    </row>
    <row r="6" customFormat="false" ht="33.75" hidden="false" customHeight="true" outlineLevel="0" collapsed="false">
      <c r="A6" s="83" t="s">
        <v>182</v>
      </c>
      <c r="B6" s="84" t="s">
        <v>183</v>
      </c>
      <c r="C6" s="84" t="s">
        <v>184</v>
      </c>
      <c r="D6" s="84" t="s">
        <v>178</v>
      </c>
      <c r="E6" s="84" t="s">
        <v>185</v>
      </c>
      <c r="F6" s="84" t="s">
        <v>186</v>
      </c>
      <c r="G6" s="84" t="s">
        <v>181</v>
      </c>
    </row>
    <row r="7" customFormat="false" ht="33.75" hidden="false" customHeight="true" outlineLevel="0" collapsed="false">
      <c r="A7" s="83" t="s">
        <v>187</v>
      </c>
      <c r="B7" s="84" t="s">
        <v>188</v>
      </c>
      <c r="C7" s="84" t="s">
        <v>189</v>
      </c>
      <c r="D7" s="84" t="s">
        <v>190</v>
      </c>
      <c r="E7" s="84" t="s">
        <v>191</v>
      </c>
      <c r="F7" s="84" t="s">
        <v>192</v>
      </c>
      <c r="G7" s="84" t="s">
        <v>181</v>
      </c>
    </row>
    <row r="8" customFormat="false" ht="33.75" hidden="false" customHeight="true" outlineLevel="0" collapsed="false">
      <c r="A8" s="83" t="s">
        <v>193</v>
      </c>
      <c r="B8" s="84" t="s">
        <v>194</v>
      </c>
      <c r="C8" s="84" t="s">
        <v>195</v>
      </c>
      <c r="D8" s="84" t="s">
        <v>190</v>
      </c>
      <c r="E8" s="84" t="s">
        <v>196</v>
      </c>
      <c r="F8" s="84" t="s">
        <v>197</v>
      </c>
      <c r="G8" s="84" t="s">
        <v>181</v>
      </c>
    </row>
    <row r="9" customFormat="false" ht="33.75" hidden="false" customHeight="true" outlineLevel="0" collapsed="false">
      <c r="A9" s="83" t="s">
        <v>198</v>
      </c>
      <c r="B9" s="84" t="s">
        <v>199</v>
      </c>
      <c r="C9" s="84" t="s">
        <v>189</v>
      </c>
      <c r="D9" s="84" t="s">
        <v>178</v>
      </c>
      <c r="E9" s="84" t="s">
        <v>200</v>
      </c>
      <c r="F9" s="84" t="s">
        <v>201</v>
      </c>
      <c r="G9" s="84" t="s">
        <v>181</v>
      </c>
    </row>
    <row r="10" customFormat="false" ht="33.75" hidden="false" customHeight="true" outlineLevel="0" collapsed="false">
      <c r="A10" s="83" t="s">
        <v>202</v>
      </c>
      <c r="B10" s="84" t="s">
        <v>203</v>
      </c>
      <c r="C10" s="84" t="s">
        <v>204</v>
      </c>
      <c r="D10" s="84" t="s">
        <v>205</v>
      </c>
      <c r="E10" s="84" t="s">
        <v>206</v>
      </c>
      <c r="F10" s="84" t="s">
        <v>207</v>
      </c>
      <c r="G10" s="84" t="s">
        <v>208</v>
      </c>
    </row>
    <row r="11" customFormat="false" ht="33.75" hidden="false" customHeight="true" outlineLevel="0" collapsed="false">
      <c r="A11" s="83" t="s">
        <v>209</v>
      </c>
      <c r="B11" s="84" t="s">
        <v>210</v>
      </c>
      <c r="C11" s="84" t="s">
        <v>211</v>
      </c>
      <c r="D11" s="84" t="s">
        <v>205</v>
      </c>
      <c r="E11" s="84" t="s">
        <v>212</v>
      </c>
      <c r="F11" s="84" t="s">
        <v>207</v>
      </c>
      <c r="G11" s="84" t="s">
        <v>208</v>
      </c>
    </row>
    <row r="12" customFormat="false" ht="33.75" hidden="false" customHeight="true" outlineLevel="0" collapsed="false">
      <c r="A12" s="83" t="s">
        <v>213</v>
      </c>
      <c r="B12" s="84" t="s">
        <v>214</v>
      </c>
      <c r="C12" s="84" t="s">
        <v>215</v>
      </c>
      <c r="D12" s="84" t="s">
        <v>216</v>
      </c>
      <c r="E12" s="84" t="s">
        <v>217</v>
      </c>
      <c r="F12" s="84" t="s">
        <v>218</v>
      </c>
      <c r="G12" s="84" t="s">
        <v>208</v>
      </c>
    </row>
    <row r="13" customFormat="false" ht="33.75" hidden="false" customHeight="true" outlineLevel="0" collapsed="false">
      <c r="A13" s="83" t="s">
        <v>219</v>
      </c>
      <c r="B13" s="84" t="s">
        <v>220</v>
      </c>
      <c r="C13" s="84" t="s">
        <v>221</v>
      </c>
      <c r="D13" s="84" t="s">
        <v>216</v>
      </c>
      <c r="E13" s="84" t="s">
        <v>222</v>
      </c>
      <c r="F13" s="84" t="s">
        <v>207</v>
      </c>
      <c r="G13" s="84" t="s">
        <v>223</v>
      </c>
    </row>
    <row r="16" customFormat="false" ht="15" hidden="false" customHeight="false" outlineLevel="0" collapsed="false">
      <c r="A16" s="32" t="s">
        <v>224</v>
      </c>
    </row>
  </sheetData>
  <mergeCells count="1">
    <mergeCell ref="A1:G1"/>
  </mergeCells>
  <conditionalFormatting sqref="G5:G13">
    <cfRule type="expression" priority="2" aboveAverage="0" equalAverage="0" bottom="0" percent="0" rank="0" text="" dxfId="1">
      <formula>G5="High"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S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25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9" min="18" style="0" width="13"/>
  </cols>
  <sheetData>
    <row r="1" customFormat="false" ht="25.5" hidden="false" customHeight="true" outlineLevel="0" collapsed="false">
      <c r="A1" s="30" t="s">
        <v>225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customFormat="false" ht="33.75" hidden="false" customHeight="true" outlineLevel="0" collapsed="false">
      <c r="A2" s="34" t="s">
        <v>106</v>
      </c>
      <c r="B2" s="34" t="s">
        <v>226</v>
      </c>
      <c r="C2" s="34" t="s">
        <v>227</v>
      </c>
      <c r="D2" s="34" t="s">
        <v>228</v>
      </c>
      <c r="E2" s="34" t="s">
        <v>45</v>
      </c>
      <c r="F2" s="34" t="s">
        <v>107</v>
      </c>
      <c r="G2" s="34" t="s">
        <v>229</v>
      </c>
      <c r="H2" s="34" t="s">
        <v>230</v>
      </c>
      <c r="I2" s="34" t="s">
        <v>47</v>
      </c>
      <c r="J2" s="34" t="s">
        <v>48</v>
      </c>
      <c r="K2" s="34" t="s">
        <v>50</v>
      </c>
      <c r="L2" s="34" t="s">
        <v>108</v>
      </c>
      <c r="M2" s="34" t="s">
        <v>231</v>
      </c>
      <c r="N2" s="34" t="s">
        <v>232</v>
      </c>
      <c r="O2" s="34" t="s">
        <v>233</v>
      </c>
      <c r="P2" s="34" t="s">
        <v>46</v>
      </c>
      <c r="Q2" s="34" t="s">
        <v>234</v>
      </c>
      <c r="R2" s="34" t="s">
        <v>54</v>
      </c>
      <c r="S2" s="34" t="s">
        <v>55</v>
      </c>
    </row>
    <row r="3" customFormat="false" ht="15" hidden="false" customHeight="false" outlineLevel="0" collapsed="false">
      <c r="A3" s="85" t="n">
        <v>45658</v>
      </c>
      <c r="B3" s="86" t="n">
        <v>2025</v>
      </c>
      <c r="C3" s="86" t="n">
        <v>1</v>
      </c>
      <c r="D3" s="86" t="s">
        <v>114</v>
      </c>
      <c r="E3" s="86" t="s">
        <v>60</v>
      </c>
      <c r="F3" s="86" t="s">
        <v>235</v>
      </c>
      <c r="G3" s="86" t="n">
        <v>37.2</v>
      </c>
      <c r="H3" s="87" t="n">
        <v>5285</v>
      </c>
      <c r="I3" s="87" t="n">
        <v>3349</v>
      </c>
      <c r="J3" s="87" t="n">
        <v>3165</v>
      </c>
      <c r="K3" s="88" t="n">
        <v>1157900</v>
      </c>
      <c r="L3" s="88" t="n">
        <v>1159400</v>
      </c>
      <c r="M3" s="88" t="n">
        <v>583100</v>
      </c>
      <c r="N3" s="88" t="n">
        <v>232830</v>
      </c>
      <c r="O3" s="88" t="n">
        <v>612700</v>
      </c>
      <c r="P3" s="40" t="n">
        <f aca="false">INDEX(Pricing_Analysis!$B$6:$B$11,MATCH(E3,Pricing_Analysis!$A$6:$A$11,0))</f>
        <v>390</v>
      </c>
      <c r="Q3" s="39" t="n">
        <f aca="false">I3*P3</f>
        <v>1306110</v>
      </c>
      <c r="R3" s="39" t="n">
        <f aca="false">(I3-J3)*P3</f>
        <v>71760</v>
      </c>
      <c r="S3" s="39" t="n">
        <f aca="false">K3-M3-N3</f>
        <v>341970</v>
      </c>
    </row>
    <row r="4" customFormat="false" ht="15" hidden="false" customHeight="false" outlineLevel="0" collapsed="false">
      <c r="A4" s="89" t="n">
        <v>45658</v>
      </c>
      <c r="B4" s="90" t="n">
        <v>2025</v>
      </c>
      <c r="C4" s="90" t="n">
        <v>1</v>
      </c>
      <c r="D4" s="90" t="s">
        <v>114</v>
      </c>
      <c r="E4" s="90" t="s">
        <v>61</v>
      </c>
      <c r="F4" s="90" t="s">
        <v>235</v>
      </c>
      <c r="G4" s="90" t="n">
        <v>29.4</v>
      </c>
      <c r="H4" s="91" t="n">
        <v>4177</v>
      </c>
      <c r="I4" s="91" t="n">
        <v>2631</v>
      </c>
      <c r="J4" s="91" t="n">
        <v>2359</v>
      </c>
      <c r="K4" s="92" t="n">
        <v>802160</v>
      </c>
      <c r="L4" s="92" t="n">
        <v>749600</v>
      </c>
      <c r="M4" s="92" t="n">
        <v>473910</v>
      </c>
      <c r="N4" s="92" t="n">
        <v>185790</v>
      </c>
      <c r="O4" s="92" t="n">
        <v>292500</v>
      </c>
      <c r="P4" s="93" t="n">
        <f aca="false">INDEX(Pricing_Analysis!$B$6:$B$11,MATCH(E4,Pricing_Analysis!$A$6:$A$11,0))</f>
        <v>370</v>
      </c>
      <c r="Q4" s="94" t="n">
        <f aca="false">I4*P4</f>
        <v>973470</v>
      </c>
      <c r="R4" s="94" t="n">
        <f aca="false">(I4-J4)*P4</f>
        <v>100640</v>
      </c>
      <c r="S4" s="94" t="n">
        <f aca="false">K4-M4-N4</f>
        <v>142460</v>
      </c>
    </row>
    <row r="5" customFormat="false" ht="15" hidden="false" customHeight="false" outlineLevel="0" collapsed="false">
      <c r="A5" s="85" t="n">
        <v>45658</v>
      </c>
      <c r="B5" s="86" t="n">
        <v>2025</v>
      </c>
      <c r="C5" s="86" t="n">
        <v>1</v>
      </c>
      <c r="D5" s="86" t="s">
        <v>114</v>
      </c>
      <c r="E5" s="86" t="s">
        <v>62</v>
      </c>
      <c r="F5" s="86" t="s">
        <v>235</v>
      </c>
      <c r="G5" s="86" t="n">
        <v>25.7</v>
      </c>
      <c r="H5" s="87" t="n">
        <v>3651</v>
      </c>
      <c r="I5" s="87" t="n">
        <v>2269</v>
      </c>
      <c r="J5" s="87" t="n">
        <v>2048</v>
      </c>
      <c r="K5" s="88" t="n">
        <v>645060</v>
      </c>
      <c r="L5" s="88" t="n">
        <v>609700</v>
      </c>
      <c r="M5" s="88" t="n">
        <v>373420</v>
      </c>
      <c r="N5" s="88" t="n">
        <v>143010</v>
      </c>
      <c r="O5" s="88" t="n">
        <v>239200</v>
      </c>
      <c r="P5" s="40" t="n">
        <f aca="false">INDEX(Pricing_Analysis!$B$6:$B$11,MATCH(E5,Pricing_Analysis!$A$6:$A$11,0))</f>
        <v>340</v>
      </c>
      <c r="Q5" s="39" t="n">
        <f aca="false">I5*P5</f>
        <v>771460</v>
      </c>
      <c r="R5" s="39" t="n">
        <f aca="false">(I5-J5)*P5</f>
        <v>75140</v>
      </c>
      <c r="S5" s="39" t="n">
        <f aca="false">K5-M5-N5</f>
        <v>128630</v>
      </c>
    </row>
    <row r="6" customFormat="false" ht="15" hidden="false" customHeight="false" outlineLevel="0" collapsed="false">
      <c r="A6" s="89" t="n">
        <v>45658</v>
      </c>
      <c r="B6" s="90" t="n">
        <v>2025</v>
      </c>
      <c r="C6" s="90" t="n">
        <v>1</v>
      </c>
      <c r="D6" s="90" t="s">
        <v>114</v>
      </c>
      <c r="E6" s="90" t="s">
        <v>63</v>
      </c>
      <c r="F6" s="90" t="s">
        <v>235</v>
      </c>
      <c r="G6" s="90" t="n">
        <v>40.9</v>
      </c>
      <c r="H6" s="91" t="n">
        <v>5811</v>
      </c>
      <c r="I6" s="91" t="n">
        <v>3668</v>
      </c>
      <c r="J6" s="91" t="n">
        <v>3243</v>
      </c>
      <c r="K6" s="92" t="n">
        <v>1167540</v>
      </c>
      <c r="L6" s="92" t="n">
        <v>1156400</v>
      </c>
      <c r="M6" s="92" t="n">
        <v>661960</v>
      </c>
      <c r="N6" s="92" t="n">
        <v>258200</v>
      </c>
      <c r="O6" s="92" t="n">
        <v>670300</v>
      </c>
      <c r="P6" s="93" t="n">
        <f aca="false">INDEX(Pricing_Analysis!$B$6:$B$11,MATCH(E6,Pricing_Analysis!$A$6:$A$11,0))</f>
        <v>410</v>
      </c>
      <c r="Q6" s="94" t="n">
        <f aca="false">I6*P6</f>
        <v>1503880</v>
      </c>
      <c r="R6" s="94" t="n">
        <f aca="false">(I6-J6)*P6</f>
        <v>174250</v>
      </c>
      <c r="S6" s="94" t="n">
        <f aca="false">K6-M6-N6</f>
        <v>247380</v>
      </c>
    </row>
    <row r="7" customFormat="false" ht="15" hidden="false" customHeight="false" outlineLevel="0" collapsed="false">
      <c r="A7" s="85" t="n">
        <v>45658</v>
      </c>
      <c r="B7" s="86" t="n">
        <v>2025</v>
      </c>
      <c r="C7" s="86" t="n">
        <v>1</v>
      </c>
      <c r="D7" s="86" t="s">
        <v>114</v>
      </c>
      <c r="E7" s="86" t="s">
        <v>64</v>
      </c>
      <c r="F7" s="86" t="s">
        <v>235</v>
      </c>
      <c r="G7" s="86" t="n">
        <v>21.2</v>
      </c>
      <c r="H7" s="87" t="n">
        <v>3012</v>
      </c>
      <c r="I7" s="87" t="n">
        <v>1763</v>
      </c>
      <c r="J7" s="87" t="n">
        <v>1645</v>
      </c>
      <c r="K7" s="88" t="n">
        <v>547390</v>
      </c>
      <c r="L7" s="88" t="n">
        <v>591000</v>
      </c>
      <c r="M7" s="88" t="n">
        <v>349620</v>
      </c>
      <c r="N7" s="88" t="n">
        <v>131600</v>
      </c>
      <c r="O7" s="88" t="n">
        <v>327200</v>
      </c>
      <c r="P7" s="40" t="n">
        <f aca="false">INDEX(Pricing_Analysis!$B$6:$B$11,MATCH(E7,Pricing_Analysis!$A$6:$A$11,0))</f>
        <v>355</v>
      </c>
      <c r="Q7" s="39" t="n">
        <f aca="false">I7*P7</f>
        <v>625865</v>
      </c>
      <c r="R7" s="39" t="n">
        <f aca="false">(I7-J7)*P7</f>
        <v>41890</v>
      </c>
      <c r="S7" s="39" t="n">
        <f aca="false">K7-M7-N7</f>
        <v>66170</v>
      </c>
    </row>
    <row r="8" customFormat="false" ht="15" hidden="false" customHeight="false" outlineLevel="0" collapsed="false">
      <c r="A8" s="89" t="n">
        <v>45658</v>
      </c>
      <c r="B8" s="90" t="n">
        <v>2025</v>
      </c>
      <c r="C8" s="90" t="n">
        <v>1</v>
      </c>
      <c r="D8" s="90" t="s">
        <v>114</v>
      </c>
      <c r="E8" s="90" t="s">
        <v>65</v>
      </c>
      <c r="F8" s="90" t="s">
        <v>235</v>
      </c>
      <c r="G8" s="90" t="n">
        <v>13.1</v>
      </c>
      <c r="H8" s="91" t="n">
        <v>1861</v>
      </c>
      <c r="I8" s="91" t="n">
        <v>1010</v>
      </c>
      <c r="J8" s="91" t="n">
        <v>865</v>
      </c>
      <c r="K8" s="92" t="n">
        <v>253060</v>
      </c>
      <c r="L8" s="92" t="n">
        <v>263800</v>
      </c>
      <c r="M8" s="92" t="n">
        <v>200440</v>
      </c>
      <c r="N8" s="92" t="n">
        <v>60940</v>
      </c>
      <c r="O8" s="92" t="n">
        <v>122800</v>
      </c>
      <c r="P8" s="93" t="n">
        <f aca="false">INDEX(Pricing_Analysis!$B$6:$B$11,MATCH(E8,Pricing_Analysis!$A$6:$A$11,0))</f>
        <v>330</v>
      </c>
      <c r="Q8" s="94" t="n">
        <f aca="false">I8*P8</f>
        <v>333300</v>
      </c>
      <c r="R8" s="94" t="n">
        <f aca="false">(I8-J8)*P8</f>
        <v>47850</v>
      </c>
      <c r="S8" s="94" t="n">
        <f aca="false">K8-M8-N8</f>
        <v>-8320</v>
      </c>
    </row>
    <row r="9" customFormat="false" ht="15" hidden="false" customHeight="false" outlineLevel="0" collapsed="false">
      <c r="A9" s="85" t="n">
        <v>45689</v>
      </c>
      <c r="B9" s="86" t="n">
        <v>2025</v>
      </c>
      <c r="C9" s="86" t="n">
        <v>2</v>
      </c>
      <c r="D9" s="86" t="s">
        <v>115</v>
      </c>
      <c r="E9" s="86" t="s">
        <v>60</v>
      </c>
      <c r="F9" s="86" t="s">
        <v>235</v>
      </c>
      <c r="G9" s="86" t="n">
        <v>37.9</v>
      </c>
      <c r="H9" s="87" t="n">
        <v>5385</v>
      </c>
      <c r="I9" s="87" t="n">
        <v>3705</v>
      </c>
      <c r="J9" s="87" t="n">
        <v>3342</v>
      </c>
      <c r="K9" s="88" t="n">
        <v>1203840</v>
      </c>
      <c r="L9" s="88" t="n">
        <v>1282900</v>
      </c>
      <c r="M9" s="88" t="n">
        <v>585180</v>
      </c>
      <c r="N9" s="88" t="n">
        <v>299540</v>
      </c>
      <c r="O9" s="88" t="n">
        <v>588800</v>
      </c>
      <c r="P9" s="40" t="n">
        <f aca="false">INDEX(Pricing_Analysis!$B$6:$B$11,MATCH(E9,Pricing_Analysis!$A$6:$A$11,0))</f>
        <v>390</v>
      </c>
      <c r="Q9" s="39" t="n">
        <f aca="false">I9*P9</f>
        <v>1444950</v>
      </c>
      <c r="R9" s="39" t="n">
        <f aca="false">(I9-J9)*P9</f>
        <v>141570</v>
      </c>
      <c r="S9" s="39" t="n">
        <f aca="false">K9-M9-N9</f>
        <v>319120</v>
      </c>
    </row>
    <row r="10" customFormat="false" ht="15" hidden="false" customHeight="false" outlineLevel="0" collapsed="false">
      <c r="A10" s="89" t="n">
        <v>45689</v>
      </c>
      <c r="B10" s="90" t="n">
        <v>2025</v>
      </c>
      <c r="C10" s="90" t="n">
        <v>2</v>
      </c>
      <c r="D10" s="90" t="s">
        <v>115</v>
      </c>
      <c r="E10" s="90" t="s">
        <v>61</v>
      </c>
      <c r="F10" s="90" t="s">
        <v>235</v>
      </c>
      <c r="G10" s="90" t="n">
        <v>29</v>
      </c>
      <c r="H10" s="91" t="n">
        <v>4120</v>
      </c>
      <c r="I10" s="91" t="n">
        <v>2696</v>
      </c>
      <c r="J10" s="91" t="n">
        <v>2502</v>
      </c>
      <c r="K10" s="92" t="n">
        <v>849050</v>
      </c>
      <c r="L10" s="92" t="n">
        <v>793000</v>
      </c>
      <c r="M10" s="92" t="n">
        <v>439790</v>
      </c>
      <c r="N10" s="92" t="n">
        <v>210430</v>
      </c>
      <c r="O10" s="92" t="n">
        <v>522400</v>
      </c>
      <c r="P10" s="93" t="n">
        <f aca="false">INDEX(Pricing_Analysis!$B$6:$B$11,MATCH(E10,Pricing_Analysis!$A$6:$A$11,0))</f>
        <v>370</v>
      </c>
      <c r="Q10" s="94" t="n">
        <f aca="false">I10*P10</f>
        <v>997520</v>
      </c>
      <c r="R10" s="94" t="n">
        <f aca="false">(I10-J10)*P10</f>
        <v>71780</v>
      </c>
      <c r="S10" s="94" t="n">
        <f aca="false">K10-M10-N10</f>
        <v>198830</v>
      </c>
    </row>
    <row r="11" customFormat="false" ht="15" hidden="false" customHeight="false" outlineLevel="0" collapsed="false">
      <c r="A11" s="85" t="n">
        <v>45689</v>
      </c>
      <c r="B11" s="86" t="n">
        <v>2025</v>
      </c>
      <c r="C11" s="86" t="n">
        <v>2</v>
      </c>
      <c r="D11" s="86" t="s">
        <v>115</v>
      </c>
      <c r="E11" s="86" t="s">
        <v>62</v>
      </c>
      <c r="F11" s="86" t="s">
        <v>235</v>
      </c>
      <c r="G11" s="86" t="n">
        <v>25</v>
      </c>
      <c r="H11" s="87" t="n">
        <v>3552</v>
      </c>
      <c r="I11" s="87" t="n">
        <v>2171</v>
      </c>
      <c r="J11" s="87" t="n">
        <v>1905</v>
      </c>
      <c r="K11" s="88" t="n">
        <v>580150</v>
      </c>
      <c r="L11" s="88" t="n">
        <v>607700</v>
      </c>
      <c r="M11" s="88" t="n">
        <v>371380</v>
      </c>
      <c r="N11" s="88" t="n">
        <v>129700</v>
      </c>
      <c r="O11" s="88" t="n">
        <v>293900</v>
      </c>
      <c r="P11" s="40" t="n">
        <f aca="false">INDEX(Pricing_Analysis!$B$6:$B$11,MATCH(E11,Pricing_Analysis!$A$6:$A$11,0))</f>
        <v>340</v>
      </c>
      <c r="Q11" s="39" t="n">
        <f aca="false">I11*P11</f>
        <v>738140</v>
      </c>
      <c r="R11" s="39" t="n">
        <f aca="false">(I11-J11)*P11</f>
        <v>90440</v>
      </c>
      <c r="S11" s="39" t="n">
        <f aca="false">K11-M11-N11</f>
        <v>79070</v>
      </c>
    </row>
    <row r="12" customFormat="false" ht="15" hidden="false" customHeight="false" outlineLevel="0" collapsed="false">
      <c r="A12" s="89" t="n">
        <v>45689</v>
      </c>
      <c r="B12" s="90" t="n">
        <v>2025</v>
      </c>
      <c r="C12" s="90" t="n">
        <v>2</v>
      </c>
      <c r="D12" s="90" t="s">
        <v>115</v>
      </c>
      <c r="E12" s="90" t="s">
        <v>63</v>
      </c>
      <c r="F12" s="90" t="s">
        <v>235</v>
      </c>
      <c r="G12" s="90" t="n">
        <v>41.1</v>
      </c>
      <c r="H12" s="91" t="n">
        <v>5839</v>
      </c>
      <c r="I12" s="91" t="n">
        <v>4086</v>
      </c>
      <c r="J12" s="91" t="n">
        <v>3631</v>
      </c>
      <c r="K12" s="92" t="n">
        <v>1321360</v>
      </c>
      <c r="L12" s="92" t="n">
        <v>1240300</v>
      </c>
      <c r="M12" s="92" t="n">
        <v>630540</v>
      </c>
      <c r="N12" s="92" t="n">
        <v>267930</v>
      </c>
      <c r="O12" s="92" t="n">
        <v>587200</v>
      </c>
      <c r="P12" s="93" t="n">
        <f aca="false">INDEX(Pricing_Analysis!$B$6:$B$11,MATCH(E12,Pricing_Analysis!$A$6:$A$11,0))</f>
        <v>410</v>
      </c>
      <c r="Q12" s="94" t="n">
        <f aca="false">I12*P12</f>
        <v>1675260</v>
      </c>
      <c r="R12" s="94" t="n">
        <f aca="false">(I12-J12)*P12</f>
        <v>186550</v>
      </c>
      <c r="S12" s="94" t="n">
        <f aca="false">K12-M12-N12</f>
        <v>422890</v>
      </c>
    </row>
    <row r="13" customFormat="false" ht="15" hidden="false" customHeight="false" outlineLevel="0" collapsed="false">
      <c r="A13" s="85" t="n">
        <v>45689</v>
      </c>
      <c r="B13" s="86" t="n">
        <v>2025</v>
      </c>
      <c r="C13" s="86" t="n">
        <v>2</v>
      </c>
      <c r="D13" s="86" t="s">
        <v>115</v>
      </c>
      <c r="E13" s="86" t="s">
        <v>64</v>
      </c>
      <c r="F13" s="86" t="s">
        <v>235</v>
      </c>
      <c r="G13" s="86" t="n">
        <v>21.9</v>
      </c>
      <c r="H13" s="87" t="n">
        <v>3112</v>
      </c>
      <c r="I13" s="87" t="n">
        <v>1950</v>
      </c>
      <c r="J13" s="87" t="n">
        <v>1806</v>
      </c>
      <c r="K13" s="88" t="n">
        <v>623140</v>
      </c>
      <c r="L13" s="88" t="n">
        <v>594300</v>
      </c>
      <c r="M13" s="88" t="n">
        <v>334820</v>
      </c>
      <c r="N13" s="88" t="n">
        <v>150340</v>
      </c>
      <c r="O13" s="88" t="n">
        <v>358100</v>
      </c>
      <c r="P13" s="40" t="n">
        <f aca="false">INDEX(Pricing_Analysis!$B$6:$B$11,MATCH(E13,Pricing_Analysis!$A$6:$A$11,0))</f>
        <v>355</v>
      </c>
      <c r="Q13" s="39" t="n">
        <f aca="false">I13*P13</f>
        <v>692250</v>
      </c>
      <c r="R13" s="39" t="n">
        <f aca="false">(I13-J13)*P13</f>
        <v>51120</v>
      </c>
      <c r="S13" s="39" t="n">
        <f aca="false">K13-M13-N13</f>
        <v>137980</v>
      </c>
    </row>
    <row r="14" customFormat="false" ht="15" hidden="false" customHeight="false" outlineLevel="0" collapsed="false">
      <c r="A14" s="89" t="n">
        <v>45689</v>
      </c>
      <c r="B14" s="90" t="n">
        <v>2025</v>
      </c>
      <c r="C14" s="90" t="n">
        <v>2</v>
      </c>
      <c r="D14" s="90" t="s">
        <v>115</v>
      </c>
      <c r="E14" s="90" t="s">
        <v>65</v>
      </c>
      <c r="F14" s="90" t="s">
        <v>235</v>
      </c>
      <c r="G14" s="90" t="n">
        <v>13</v>
      </c>
      <c r="H14" s="91" t="n">
        <v>1847</v>
      </c>
      <c r="I14" s="91" t="n">
        <v>1141</v>
      </c>
      <c r="J14" s="91" t="n">
        <v>973</v>
      </c>
      <c r="K14" s="92" t="n">
        <v>287950</v>
      </c>
      <c r="L14" s="92" t="n">
        <v>300500</v>
      </c>
      <c r="M14" s="92" t="n">
        <v>197050</v>
      </c>
      <c r="N14" s="92" t="n">
        <v>59830</v>
      </c>
      <c r="O14" s="92" t="n">
        <v>108200</v>
      </c>
      <c r="P14" s="93" t="n">
        <f aca="false">INDEX(Pricing_Analysis!$B$6:$B$11,MATCH(E14,Pricing_Analysis!$A$6:$A$11,0))</f>
        <v>330</v>
      </c>
      <c r="Q14" s="94" t="n">
        <f aca="false">I14*P14</f>
        <v>376530</v>
      </c>
      <c r="R14" s="94" t="n">
        <f aca="false">(I14-J14)*P14</f>
        <v>55440</v>
      </c>
      <c r="S14" s="94" t="n">
        <f aca="false">K14-M14-N14</f>
        <v>31070</v>
      </c>
    </row>
    <row r="15" customFormat="false" ht="15" hidden="false" customHeight="false" outlineLevel="0" collapsed="false">
      <c r="A15" s="85" t="n">
        <v>45717</v>
      </c>
      <c r="B15" s="86" t="n">
        <v>2025</v>
      </c>
      <c r="C15" s="86" t="n">
        <v>3</v>
      </c>
      <c r="D15" s="86" t="s">
        <v>116</v>
      </c>
      <c r="E15" s="86" t="s">
        <v>60</v>
      </c>
      <c r="F15" s="86" t="s">
        <v>235</v>
      </c>
      <c r="G15" s="86" t="n">
        <v>37.1</v>
      </c>
      <c r="H15" s="87" t="n">
        <v>5491</v>
      </c>
      <c r="I15" s="87" t="n">
        <v>4069</v>
      </c>
      <c r="J15" s="87" t="n">
        <v>3717</v>
      </c>
      <c r="K15" s="88" t="n">
        <v>1370930</v>
      </c>
      <c r="L15" s="88" t="n">
        <v>1342800</v>
      </c>
      <c r="M15" s="88" t="n">
        <v>571580</v>
      </c>
      <c r="N15" s="88" t="n">
        <v>339370</v>
      </c>
      <c r="O15" s="88" t="n">
        <v>711900</v>
      </c>
      <c r="P15" s="40" t="n">
        <f aca="false">INDEX(Pricing_Analysis!$B$6:$B$11,MATCH(E15,Pricing_Analysis!$A$6:$A$11,0))</f>
        <v>390</v>
      </c>
      <c r="Q15" s="39" t="n">
        <f aca="false">I15*P15</f>
        <v>1586910</v>
      </c>
      <c r="R15" s="39" t="n">
        <f aca="false">(I15-J15)*P15</f>
        <v>137280</v>
      </c>
      <c r="S15" s="39" t="n">
        <f aca="false">K15-M15-N15</f>
        <v>459980</v>
      </c>
    </row>
    <row r="16" customFormat="false" ht="15" hidden="false" customHeight="false" outlineLevel="0" collapsed="false">
      <c r="A16" s="89" t="n">
        <v>45717</v>
      </c>
      <c r="B16" s="90" t="n">
        <v>2025</v>
      </c>
      <c r="C16" s="90" t="n">
        <v>3</v>
      </c>
      <c r="D16" s="90" t="s">
        <v>116</v>
      </c>
      <c r="E16" s="90" t="s">
        <v>61</v>
      </c>
      <c r="F16" s="90" t="s">
        <v>235</v>
      </c>
      <c r="G16" s="90" t="n">
        <v>29.6</v>
      </c>
      <c r="H16" s="91" t="n">
        <v>4381</v>
      </c>
      <c r="I16" s="91" t="n">
        <v>3243</v>
      </c>
      <c r="J16" s="91" t="n">
        <v>2921</v>
      </c>
      <c r="K16" s="92" t="n">
        <v>984260</v>
      </c>
      <c r="L16" s="92" t="n">
        <v>1048600</v>
      </c>
      <c r="M16" s="92" t="n">
        <v>477610</v>
      </c>
      <c r="N16" s="92" t="n">
        <v>201740</v>
      </c>
      <c r="O16" s="92" t="n">
        <v>409900</v>
      </c>
      <c r="P16" s="93" t="n">
        <f aca="false">INDEX(Pricing_Analysis!$B$6:$B$11,MATCH(E16,Pricing_Analysis!$A$6:$A$11,0))</f>
        <v>370</v>
      </c>
      <c r="Q16" s="94" t="n">
        <f aca="false">I16*P16</f>
        <v>1199910</v>
      </c>
      <c r="R16" s="94" t="n">
        <f aca="false">(I16-J16)*P16</f>
        <v>119140</v>
      </c>
      <c r="S16" s="94" t="n">
        <f aca="false">K16-M16-N16</f>
        <v>304910</v>
      </c>
    </row>
    <row r="17" customFormat="false" ht="15" hidden="false" customHeight="false" outlineLevel="0" collapsed="false">
      <c r="A17" s="85" t="n">
        <v>45717</v>
      </c>
      <c r="B17" s="86" t="n">
        <v>2025</v>
      </c>
      <c r="C17" s="86" t="n">
        <v>3</v>
      </c>
      <c r="D17" s="86" t="s">
        <v>116</v>
      </c>
      <c r="E17" s="86" t="s">
        <v>62</v>
      </c>
      <c r="F17" s="86" t="s">
        <v>235</v>
      </c>
      <c r="G17" s="86" t="n">
        <v>25.8</v>
      </c>
      <c r="H17" s="87" t="n">
        <v>3818</v>
      </c>
      <c r="I17" s="87" t="n">
        <v>2762</v>
      </c>
      <c r="J17" s="87" t="n">
        <v>2436</v>
      </c>
      <c r="K17" s="88" t="n">
        <v>782560</v>
      </c>
      <c r="L17" s="88" t="n">
        <v>830400</v>
      </c>
      <c r="M17" s="88" t="n">
        <v>405240</v>
      </c>
      <c r="N17" s="88" t="n">
        <v>168480</v>
      </c>
      <c r="O17" s="88" t="n">
        <v>302300</v>
      </c>
      <c r="P17" s="40" t="n">
        <f aca="false">INDEX(Pricing_Analysis!$B$6:$B$11,MATCH(E17,Pricing_Analysis!$A$6:$A$11,0))</f>
        <v>340</v>
      </c>
      <c r="Q17" s="39" t="n">
        <f aca="false">I17*P17</f>
        <v>939080</v>
      </c>
      <c r="R17" s="39" t="n">
        <f aca="false">(I17-J17)*P17</f>
        <v>110840</v>
      </c>
      <c r="S17" s="39" t="n">
        <f aca="false">K17-M17-N17</f>
        <v>208840</v>
      </c>
    </row>
    <row r="18" customFormat="false" ht="15" hidden="false" customHeight="false" outlineLevel="0" collapsed="false">
      <c r="A18" s="89" t="n">
        <v>45717</v>
      </c>
      <c r="B18" s="90" t="n">
        <v>2025</v>
      </c>
      <c r="C18" s="90" t="n">
        <v>3</v>
      </c>
      <c r="D18" s="90" t="s">
        <v>116</v>
      </c>
      <c r="E18" s="90" t="s">
        <v>63</v>
      </c>
      <c r="F18" s="90" t="s">
        <v>235</v>
      </c>
      <c r="G18" s="90" t="n">
        <v>41.1</v>
      </c>
      <c r="H18" s="91" t="n">
        <v>6083</v>
      </c>
      <c r="I18" s="91" t="n">
        <v>4812</v>
      </c>
      <c r="J18" s="91" t="n">
        <v>4300</v>
      </c>
      <c r="K18" s="92" t="n">
        <v>1570480</v>
      </c>
      <c r="L18" s="92" t="n">
        <v>1509400</v>
      </c>
      <c r="M18" s="92" t="n">
        <v>663660</v>
      </c>
      <c r="N18" s="92" t="n">
        <v>354600</v>
      </c>
      <c r="O18" s="92" t="n">
        <v>711000</v>
      </c>
      <c r="P18" s="93" t="n">
        <f aca="false">INDEX(Pricing_Analysis!$B$6:$B$11,MATCH(E18,Pricing_Analysis!$A$6:$A$11,0))</f>
        <v>410</v>
      </c>
      <c r="Q18" s="94" t="n">
        <f aca="false">I18*P18</f>
        <v>1972920</v>
      </c>
      <c r="R18" s="94" t="n">
        <f aca="false">(I18-J18)*P18</f>
        <v>209920</v>
      </c>
      <c r="S18" s="94" t="n">
        <f aca="false">K18-M18-N18</f>
        <v>552220</v>
      </c>
    </row>
    <row r="19" customFormat="false" ht="15" hidden="false" customHeight="false" outlineLevel="0" collapsed="false">
      <c r="A19" s="85" t="n">
        <v>45717</v>
      </c>
      <c r="B19" s="86" t="n">
        <v>2025</v>
      </c>
      <c r="C19" s="86" t="n">
        <v>3</v>
      </c>
      <c r="D19" s="86" t="s">
        <v>116</v>
      </c>
      <c r="E19" s="86" t="s">
        <v>64</v>
      </c>
      <c r="F19" s="86" t="s">
        <v>235</v>
      </c>
      <c r="G19" s="86" t="n">
        <v>21.2</v>
      </c>
      <c r="H19" s="87" t="n">
        <v>3138</v>
      </c>
      <c r="I19" s="87" t="n">
        <v>2155</v>
      </c>
      <c r="J19" s="87" t="n">
        <v>1972</v>
      </c>
      <c r="K19" s="88" t="n">
        <v>654220</v>
      </c>
      <c r="L19" s="88" t="n">
        <v>660400</v>
      </c>
      <c r="M19" s="88" t="n">
        <v>343540</v>
      </c>
      <c r="N19" s="88" t="n">
        <v>148420</v>
      </c>
      <c r="O19" s="88" t="n">
        <v>293100</v>
      </c>
      <c r="P19" s="40" t="n">
        <f aca="false">INDEX(Pricing_Analysis!$B$6:$B$11,MATCH(E19,Pricing_Analysis!$A$6:$A$11,0))</f>
        <v>355</v>
      </c>
      <c r="Q19" s="39" t="n">
        <f aca="false">I19*P19</f>
        <v>765025</v>
      </c>
      <c r="R19" s="39" t="n">
        <f aca="false">(I19-J19)*P19</f>
        <v>64965</v>
      </c>
      <c r="S19" s="39" t="n">
        <f aca="false">K19-M19-N19</f>
        <v>162260</v>
      </c>
    </row>
    <row r="20" customFormat="false" ht="15" hidden="false" customHeight="false" outlineLevel="0" collapsed="false">
      <c r="A20" s="89" t="n">
        <v>45717</v>
      </c>
      <c r="B20" s="90" t="n">
        <v>2025</v>
      </c>
      <c r="C20" s="90" t="n">
        <v>3</v>
      </c>
      <c r="D20" s="90" t="s">
        <v>116</v>
      </c>
      <c r="E20" s="90" t="s">
        <v>65</v>
      </c>
      <c r="F20" s="90" t="s">
        <v>235</v>
      </c>
      <c r="G20" s="90" t="n">
        <v>14</v>
      </c>
      <c r="H20" s="91" t="n">
        <v>2072</v>
      </c>
      <c r="I20" s="91" t="n">
        <v>1309</v>
      </c>
      <c r="J20" s="91" t="n">
        <v>1106</v>
      </c>
      <c r="K20" s="92" t="n">
        <v>327530</v>
      </c>
      <c r="L20" s="92" t="n">
        <v>324700</v>
      </c>
      <c r="M20" s="92" t="n">
        <v>204690</v>
      </c>
      <c r="N20" s="92" t="n">
        <v>65690</v>
      </c>
      <c r="O20" s="92" t="n">
        <v>156900</v>
      </c>
      <c r="P20" s="93" t="n">
        <f aca="false">INDEX(Pricing_Analysis!$B$6:$B$11,MATCH(E20,Pricing_Analysis!$A$6:$A$11,0))</f>
        <v>330</v>
      </c>
      <c r="Q20" s="94" t="n">
        <f aca="false">I20*P20</f>
        <v>431970</v>
      </c>
      <c r="R20" s="94" t="n">
        <f aca="false">(I20-J20)*P20</f>
        <v>66990</v>
      </c>
      <c r="S20" s="94" t="n">
        <f aca="false">K20-M20-N20</f>
        <v>57150</v>
      </c>
    </row>
    <row r="21" customFormat="false" ht="15" hidden="false" customHeight="false" outlineLevel="0" collapsed="false">
      <c r="A21" s="85" t="n">
        <v>45748</v>
      </c>
      <c r="B21" s="86" t="n">
        <v>2025</v>
      </c>
      <c r="C21" s="86" t="n">
        <v>4</v>
      </c>
      <c r="D21" s="86" t="s">
        <v>117</v>
      </c>
      <c r="E21" s="86" t="s">
        <v>60</v>
      </c>
      <c r="F21" s="86" t="s">
        <v>235</v>
      </c>
      <c r="G21" s="86" t="n">
        <v>37.8</v>
      </c>
      <c r="H21" s="87" t="n">
        <v>5259</v>
      </c>
      <c r="I21" s="87" t="n">
        <v>3475</v>
      </c>
      <c r="J21" s="87" t="n">
        <v>3193</v>
      </c>
      <c r="K21" s="88" t="n">
        <v>1198010</v>
      </c>
      <c r="L21" s="88" t="n">
        <v>1290100</v>
      </c>
      <c r="M21" s="88" t="n">
        <v>597760</v>
      </c>
      <c r="N21" s="88" t="n">
        <v>277310</v>
      </c>
      <c r="O21" s="88" t="n">
        <v>664400</v>
      </c>
      <c r="P21" s="40" t="n">
        <f aca="false">INDEX(Pricing_Analysis!$B$6:$B$11,MATCH(E21,Pricing_Analysis!$A$6:$A$11,0))</f>
        <v>390</v>
      </c>
      <c r="Q21" s="39" t="n">
        <f aca="false">I21*P21</f>
        <v>1355250</v>
      </c>
      <c r="R21" s="39" t="n">
        <f aca="false">(I21-J21)*P21</f>
        <v>109980</v>
      </c>
      <c r="S21" s="39" t="n">
        <f aca="false">K21-M21-N21</f>
        <v>322940</v>
      </c>
    </row>
    <row r="22" customFormat="false" ht="15" hidden="false" customHeight="false" outlineLevel="0" collapsed="false">
      <c r="A22" s="89" t="n">
        <v>45748</v>
      </c>
      <c r="B22" s="90" t="n">
        <v>2025</v>
      </c>
      <c r="C22" s="90" t="n">
        <v>4</v>
      </c>
      <c r="D22" s="90" t="s">
        <v>117</v>
      </c>
      <c r="E22" s="90" t="s">
        <v>61</v>
      </c>
      <c r="F22" s="90" t="s">
        <v>235</v>
      </c>
      <c r="G22" s="90" t="n">
        <v>29.3</v>
      </c>
      <c r="H22" s="91" t="n">
        <v>4076</v>
      </c>
      <c r="I22" s="91" t="n">
        <v>2590</v>
      </c>
      <c r="J22" s="91" t="n">
        <v>2313</v>
      </c>
      <c r="K22" s="92" t="n">
        <v>815490</v>
      </c>
      <c r="L22" s="92" t="n">
        <v>841700</v>
      </c>
      <c r="M22" s="92" t="n">
        <v>481270</v>
      </c>
      <c r="N22" s="92" t="n">
        <v>155980</v>
      </c>
      <c r="O22" s="92" t="n">
        <v>467000</v>
      </c>
      <c r="P22" s="93" t="n">
        <f aca="false">INDEX(Pricing_Analysis!$B$6:$B$11,MATCH(E22,Pricing_Analysis!$A$6:$A$11,0))</f>
        <v>370</v>
      </c>
      <c r="Q22" s="94" t="n">
        <f aca="false">I22*P22</f>
        <v>958300</v>
      </c>
      <c r="R22" s="94" t="n">
        <f aca="false">(I22-J22)*P22</f>
        <v>102490</v>
      </c>
      <c r="S22" s="94" t="n">
        <f aca="false">K22-M22-N22</f>
        <v>178240</v>
      </c>
    </row>
    <row r="23" customFormat="false" ht="15" hidden="false" customHeight="false" outlineLevel="0" collapsed="false">
      <c r="A23" s="85" t="n">
        <v>45748</v>
      </c>
      <c r="B23" s="86" t="n">
        <v>2025</v>
      </c>
      <c r="C23" s="86" t="n">
        <v>4</v>
      </c>
      <c r="D23" s="86" t="s">
        <v>117</v>
      </c>
      <c r="E23" s="86" t="s">
        <v>62</v>
      </c>
      <c r="F23" s="86" t="s">
        <v>235</v>
      </c>
      <c r="G23" s="86" t="n">
        <v>25.7</v>
      </c>
      <c r="H23" s="87" t="n">
        <v>3575</v>
      </c>
      <c r="I23" s="87" t="n">
        <v>2366</v>
      </c>
      <c r="J23" s="87" t="n">
        <v>2099</v>
      </c>
      <c r="K23" s="88" t="n">
        <v>676240</v>
      </c>
      <c r="L23" s="88" t="n">
        <v>630300</v>
      </c>
      <c r="M23" s="88" t="n">
        <v>400720</v>
      </c>
      <c r="N23" s="88" t="n">
        <v>158390</v>
      </c>
      <c r="O23" s="88" t="n">
        <v>449700</v>
      </c>
      <c r="P23" s="40" t="n">
        <f aca="false">INDEX(Pricing_Analysis!$B$6:$B$11,MATCH(E23,Pricing_Analysis!$A$6:$A$11,0))</f>
        <v>340</v>
      </c>
      <c r="Q23" s="39" t="n">
        <f aca="false">I23*P23</f>
        <v>804440</v>
      </c>
      <c r="R23" s="39" t="n">
        <f aca="false">(I23-J23)*P23</f>
        <v>90780</v>
      </c>
      <c r="S23" s="39" t="n">
        <f aca="false">K23-M23-N23</f>
        <v>117130</v>
      </c>
    </row>
    <row r="24" customFormat="false" ht="15" hidden="false" customHeight="false" outlineLevel="0" collapsed="false">
      <c r="A24" s="89" t="n">
        <v>45748</v>
      </c>
      <c r="B24" s="90" t="n">
        <v>2025</v>
      </c>
      <c r="C24" s="90" t="n">
        <v>4</v>
      </c>
      <c r="D24" s="90" t="s">
        <v>117</v>
      </c>
      <c r="E24" s="90" t="s">
        <v>63</v>
      </c>
      <c r="F24" s="90" t="s">
        <v>235</v>
      </c>
      <c r="G24" s="90" t="n">
        <v>41.9</v>
      </c>
      <c r="H24" s="91" t="n">
        <v>5829</v>
      </c>
      <c r="I24" s="91" t="n">
        <v>4197</v>
      </c>
      <c r="J24" s="91" t="n">
        <v>3856</v>
      </c>
      <c r="K24" s="92" t="n">
        <v>1425890</v>
      </c>
      <c r="L24" s="92" t="n">
        <v>1392100</v>
      </c>
      <c r="M24" s="92" t="n">
        <v>664970</v>
      </c>
      <c r="N24" s="92" t="n">
        <v>347990</v>
      </c>
      <c r="O24" s="92" t="n">
        <v>933800</v>
      </c>
      <c r="P24" s="93" t="n">
        <f aca="false">INDEX(Pricing_Analysis!$B$6:$B$11,MATCH(E24,Pricing_Analysis!$A$6:$A$11,0))</f>
        <v>410</v>
      </c>
      <c r="Q24" s="94" t="n">
        <f aca="false">I24*P24</f>
        <v>1720770</v>
      </c>
      <c r="R24" s="94" t="n">
        <f aca="false">(I24-J24)*P24</f>
        <v>139810</v>
      </c>
      <c r="S24" s="94" t="n">
        <f aca="false">K24-M24-N24</f>
        <v>412930</v>
      </c>
    </row>
    <row r="25" customFormat="false" ht="15" hidden="false" customHeight="false" outlineLevel="0" collapsed="false">
      <c r="A25" s="85" t="n">
        <v>45748</v>
      </c>
      <c r="B25" s="86" t="n">
        <v>2025</v>
      </c>
      <c r="C25" s="86" t="n">
        <v>4</v>
      </c>
      <c r="D25" s="86" t="s">
        <v>117</v>
      </c>
      <c r="E25" s="86" t="s">
        <v>64</v>
      </c>
      <c r="F25" s="86" t="s">
        <v>235</v>
      </c>
      <c r="G25" s="86" t="n">
        <v>21.6</v>
      </c>
      <c r="H25" s="87" t="n">
        <v>3005</v>
      </c>
      <c r="I25" s="87" t="n">
        <v>1939</v>
      </c>
      <c r="J25" s="87" t="n">
        <v>1847</v>
      </c>
      <c r="K25" s="88" t="n">
        <v>625620</v>
      </c>
      <c r="L25" s="88" t="n">
        <v>638100</v>
      </c>
      <c r="M25" s="88" t="n">
        <v>329720</v>
      </c>
      <c r="N25" s="88" t="n">
        <v>140740</v>
      </c>
      <c r="O25" s="88" t="n">
        <v>352300</v>
      </c>
      <c r="P25" s="40" t="n">
        <f aca="false">INDEX(Pricing_Analysis!$B$6:$B$11,MATCH(E25,Pricing_Analysis!$A$6:$A$11,0))</f>
        <v>355</v>
      </c>
      <c r="Q25" s="39" t="n">
        <f aca="false">I25*P25</f>
        <v>688345</v>
      </c>
      <c r="R25" s="39" t="n">
        <f aca="false">(I25-J25)*P25</f>
        <v>32660</v>
      </c>
      <c r="S25" s="39" t="n">
        <f aca="false">K25-M25-N25</f>
        <v>155160</v>
      </c>
    </row>
    <row r="26" customFormat="false" ht="15" hidden="false" customHeight="false" outlineLevel="0" collapsed="false">
      <c r="A26" s="89" t="n">
        <v>45748</v>
      </c>
      <c r="B26" s="90" t="n">
        <v>2025</v>
      </c>
      <c r="C26" s="90" t="n">
        <v>4</v>
      </c>
      <c r="D26" s="90" t="s">
        <v>117</v>
      </c>
      <c r="E26" s="90" t="s">
        <v>65</v>
      </c>
      <c r="F26" s="90" t="s">
        <v>235</v>
      </c>
      <c r="G26" s="90" t="n">
        <v>13.3</v>
      </c>
      <c r="H26" s="91" t="n">
        <v>1850</v>
      </c>
      <c r="I26" s="91" t="n">
        <v>1140</v>
      </c>
      <c r="J26" s="91" t="n">
        <v>1011</v>
      </c>
      <c r="K26" s="92" t="n">
        <v>310520</v>
      </c>
      <c r="L26" s="92" t="n">
        <v>321900</v>
      </c>
      <c r="M26" s="92" t="n">
        <v>203180</v>
      </c>
      <c r="N26" s="92" t="n">
        <v>72690</v>
      </c>
      <c r="O26" s="92" t="n">
        <v>171800</v>
      </c>
      <c r="P26" s="93" t="n">
        <f aca="false">INDEX(Pricing_Analysis!$B$6:$B$11,MATCH(E26,Pricing_Analysis!$A$6:$A$11,0))</f>
        <v>330</v>
      </c>
      <c r="Q26" s="94" t="n">
        <f aca="false">I26*P26</f>
        <v>376200</v>
      </c>
      <c r="R26" s="94" t="n">
        <f aca="false">(I26-J26)*P26</f>
        <v>42570</v>
      </c>
      <c r="S26" s="94" t="n">
        <f aca="false">K26-M26-N26</f>
        <v>34650</v>
      </c>
    </row>
    <row r="27" customFormat="false" ht="15" hidden="false" customHeight="false" outlineLevel="0" collapsed="false">
      <c r="A27" s="85" t="n">
        <v>45778</v>
      </c>
      <c r="B27" s="86" t="n">
        <v>2025</v>
      </c>
      <c r="C27" s="86" t="n">
        <v>5</v>
      </c>
      <c r="D27" s="86" t="s">
        <v>118</v>
      </c>
      <c r="E27" s="86" t="s">
        <v>60</v>
      </c>
      <c r="F27" s="86" t="s">
        <v>235</v>
      </c>
      <c r="G27" s="86" t="n">
        <v>37.8</v>
      </c>
      <c r="H27" s="87" t="n">
        <v>5315</v>
      </c>
      <c r="I27" s="87" t="n">
        <v>3846</v>
      </c>
      <c r="J27" s="87" t="n">
        <v>3484</v>
      </c>
      <c r="K27" s="88" t="n">
        <v>1296410</v>
      </c>
      <c r="L27" s="88" t="n">
        <v>1198900</v>
      </c>
      <c r="M27" s="88" t="n">
        <v>593560</v>
      </c>
      <c r="N27" s="88" t="n">
        <v>283730</v>
      </c>
      <c r="O27" s="88" t="n">
        <v>558200</v>
      </c>
      <c r="P27" s="40" t="n">
        <f aca="false">INDEX(Pricing_Analysis!$B$6:$B$11,MATCH(E27,Pricing_Analysis!$A$6:$A$11,0))</f>
        <v>390</v>
      </c>
      <c r="Q27" s="39" t="n">
        <f aca="false">I27*P27</f>
        <v>1499940</v>
      </c>
      <c r="R27" s="39" t="n">
        <f aca="false">(I27-J27)*P27</f>
        <v>141180</v>
      </c>
      <c r="S27" s="39" t="n">
        <f aca="false">K27-M27-N27</f>
        <v>419120</v>
      </c>
    </row>
    <row r="28" customFormat="false" ht="15" hidden="false" customHeight="false" outlineLevel="0" collapsed="false">
      <c r="A28" s="89" t="n">
        <v>45778</v>
      </c>
      <c r="B28" s="90" t="n">
        <v>2025</v>
      </c>
      <c r="C28" s="90" t="n">
        <v>5</v>
      </c>
      <c r="D28" s="90" t="s">
        <v>118</v>
      </c>
      <c r="E28" s="90" t="s">
        <v>61</v>
      </c>
      <c r="F28" s="90" t="s">
        <v>235</v>
      </c>
      <c r="G28" s="90" t="n">
        <v>30</v>
      </c>
      <c r="H28" s="91" t="n">
        <v>4218</v>
      </c>
      <c r="I28" s="91" t="n">
        <v>2867</v>
      </c>
      <c r="J28" s="91" t="n">
        <v>2640</v>
      </c>
      <c r="K28" s="92" t="n">
        <v>931340</v>
      </c>
      <c r="L28" s="92" t="n">
        <v>895000</v>
      </c>
      <c r="M28" s="92" t="n">
        <v>435680</v>
      </c>
      <c r="N28" s="92" t="n">
        <v>193780</v>
      </c>
      <c r="O28" s="92" t="n">
        <v>547000</v>
      </c>
      <c r="P28" s="93" t="n">
        <f aca="false">INDEX(Pricing_Analysis!$B$6:$B$11,MATCH(E28,Pricing_Analysis!$A$6:$A$11,0))</f>
        <v>370</v>
      </c>
      <c r="Q28" s="94" t="n">
        <f aca="false">I28*P28</f>
        <v>1060790</v>
      </c>
      <c r="R28" s="94" t="n">
        <f aca="false">(I28-J28)*P28</f>
        <v>83990</v>
      </c>
      <c r="S28" s="94" t="n">
        <f aca="false">K28-M28-N28</f>
        <v>301880</v>
      </c>
    </row>
    <row r="29" customFormat="false" ht="15" hidden="false" customHeight="false" outlineLevel="0" collapsed="false">
      <c r="A29" s="85" t="n">
        <v>45778</v>
      </c>
      <c r="B29" s="86" t="n">
        <v>2025</v>
      </c>
      <c r="C29" s="86" t="n">
        <v>5</v>
      </c>
      <c r="D29" s="86" t="s">
        <v>118</v>
      </c>
      <c r="E29" s="86" t="s">
        <v>62</v>
      </c>
      <c r="F29" s="86" t="s">
        <v>235</v>
      </c>
      <c r="G29" s="86" t="n">
        <v>25.6</v>
      </c>
      <c r="H29" s="87" t="n">
        <v>3599</v>
      </c>
      <c r="I29" s="87" t="n">
        <v>2297</v>
      </c>
      <c r="J29" s="87" t="n">
        <v>2099</v>
      </c>
      <c r="K29" s="88" t="n">
        <v>662870</v>
      </c>
      <c r="L29" s="88" t="n">
        <v>656700</v>
      </c>
      <c r="M29" s="88" t="n">
        <v>416860</v>
      </c>
      <c r="N29" s="88" t="n">
        <v>138950</v>
      </c>
      <c r="O29" s="88" t="n">
        <v>386500</v>
      </c>
      <c r="P29" s="40" t="n">
        <f aca="false">INDEX(Pricing_Analysis!$B$6:$B$11,MATCH(E29,Pricing_Analysis!$A$6:$A$11,0))</f>
        <v>340</v>
      </c>
      <c r="Q29" s="39" t="n">
        <f aca="false">I29*P29</f>
        <v>780980</v>
      </c>
      <c r="R29" s="39" t="n">
        <f aca="false">(I29-J29)*P29</f>
        <v>67320</v>
      </c>
      <c r="S29" s="39" t="n">
        <f aca="false">K29-M29-N29</f>
        <v>107060</v>
      </c>
    </row>
    <row r="30" customFormat="false" ht="15" hidden="false" customHeight="false" outlineLevel="0" collapsed="false">
      <c r="A30" s="89" t="n">
        <v>45778</v>
      </c>
      <c r="B30" s="90" t="n">
        <v>2025</v>
      </c>
      <c r="C30" s="90" t="n">
        <v>5</v>
      </c>
      <c r="D30" s="90" t="s">
        <v>118</v>
      </c>
      <c r="E30" s="90" t="s">
        <v>63</v>
      </c>
      <c r="F30" s="90" t="s">
        <v>235</v>
      </c>
      <c r="G30" s="90" t="n">
        <v>41.5</v>
      </c>
      <c r="H30" s="91" t="n">
        <v>5835</v>
      </c>
      <c r="I30" s="91" t="n">
        <v>4172</v>
      </c>
      <c r="J30" s="91" t="n">
        <v>3836</v>
      </c>
      <c r="K30" s="92" t="n">
        <v>1418430</v>
      </c>
      <c r="L30" s="92" t="n">
        <v>1504700</v>
      </c>
      <c r="M30" s="92" t="n">
        <v>633660</v>
      </c>
      <c r="N30" s="92" t="n">
        <v>319130</v>
      </c>
      <c r="O30" s="92" t="n">
        <v>653600</v>
      </c>
      <c r="P30" s="93" t="n">
        <f aca="false">INDEX(Pricing_Analysis!$B$6:$B$11,MATCH(E30,Pricing_Analysis!$A$6:$A$11,0))</f>
        <v>410</v>
      </c>
      <c r="Q30" s="94" t="n">
        <f aca="false">I30*P30</f>
        <v>1710520</v>
      </c>
      <c r="R30" s="94" t="n">
        <f aca="false">(I30-J30)*P30</f>
        <v>137760</v>
      </c>
      <c r="S30" s="94" t="n">
        <f aca="false">K30-M30-N30</f>
        <v>465640</v>
      </c>
    </row>
    <row r="31" customFormat="false" ht="15" hidden="false" customHeight="false" outlineLevel="0" collapsed="false">
      <c r="A31" s="85" t="n">
        <v>45778</v>
      </c>
      <c r="B31" s="86" t="n">
        <v>2025</v>
      </c>
      <c r="C31" s="86" t="n">
        <v>5</v>
      </c>
      <c r="D31" s="86" t="s">
        <v>118</v>
      </c>
      <c r="E31" s="86" t="s">
        <v>64</v>
      </c>
      <c r="F31" s="86" t="s">
        <v>235</v>
      </c>
      <c r="G31" s="86" t="n">
        <v>21.5</v>
      </c>
      <c r="H31" s="87" t="n">
        <v>3023</v>
      </c>
      <c r="I31" s="87" t="n">
        <v>1934</v>
      </c>
      <c r="J31" s="87" t="n">
        <v>1840</v>
      </c>
      <c r="K31" s="88" t="n">
        <v>633520</v>
      </c>
      <c r="L31" s="88" t="n">
        <v>654900</v>
      </c>
      <c r="M31" s="88" t="n">
        <v>352600</v>
      </c>
      <c r="N31" s="88" t="n">
        <v>130890</v>
      </c>
      <c r="O31" s="88" t="n">
        <v>259200</v>
      </c>
      <c r="P31" s="40" t="n">
        <f aca="false">INDEX(Pricing_Analysis!$B$6:$B$11,MATCH(E31,Pricing_Analysis!$A$6:$A$11,0))</f>
        <v>355</v>
      </c>
      <c r="Q31" s="39" t="n">
        <f aca="false">I31*P31</f>
        <v>686570</v>
      </c>
      <c r="R31" s="39" t="n">
        <f aca="false">(I31-J31)*P31</f>
        <v>33370</v>
      </c>
      <c r="S31" s="39" t="n">
        <f aca="false">K31-M31-N31</f>
        <v>150030</v>
      </c>
    </row>
    <row r="32" customFormat="false" ht="15" hidden="false" customHeight="false" outlineLevel="0" collapsed="false">
      <c r="A32" s="89" t="n">
        <v>45778</v>
      </c>
      <c r="B32" s="90" t="n">
        <v>2025</v>
      </c>
      <c r="C32" s="90" t="n">
        <v>5</v>
      </c>
      <c r="D32" s="90" t="s">
        <v>118</v>
      </c>
      <c r="E32" s="90" t="s">
        <v>65</v>
      </c>
      <c r="F32" s="90" t="s">
        <v>235</v>
      </c>
      <c r="G32" s="90" t="n">
        <v>13.8</v>
      </c>
      <c r="H32" s="91" t="n">
        <v>1940</v>
      </c>
      <c r="I32" s="91" t="n">
        <v>1176</v>
      </c>
      <c r="J32" s="91" t="n">
        <v>1003</v>
      </c>
      <c r="K32" s="92" t="n">
        <v>299650</v>
      </c>
      <c r="L32" s="92" t="n">
        <v>305700</v>
      </c>
      <c r="M32" s="92" t="n">
        <v>213730</v>
      </c>
      <c r="N32" s="92" t="n">
        <v>62600</v>
      </c>
      <c r="O32" s="92" t="n">
        <v>192900</v>
      </c>
      <c r="P32" s="93" t="n">
        <f aca="false">INDEX(Pricing_Analysis!$B$6:$B$11,MATCH(E32,Pricing_Analysis!$A$6:$A$11,0))</f>
        <v>330</v>
      </c>
      <c r="Q32" s="94" t="n">
        <f aca="false">I32*P32</f>
        <v>388080</v>
      </c>
      <c r="R32" s="94" t="n">
        <f aca="false">(I32-J32)*P32</f>
        <v>57090</v>
      </c>
      <c r="S32" s="94" t="n">
        <f aca="false">K32-M32-N32</f>
        <v>23320</v>
      </c>
    </row>
    <row r="33" customFormat="false" ht="15" hidden="false" customHeight="false" outlineLevel="0" collapsed="false">
      <c r="A33" s="85" t="n">
        <v>45809</v>
      </c>
      <c r="B33" s="86" t="n">
        <v>2025</v>
      </c>
      <c r="C33" s="86" t="n">
        <v>6</v>
      </c>
      <c r="D33" s="86" t="s">
        <v>119</v>
      </c>
      <c r="E33" s="86" t="s">
        <v>60</v>
      </c>
      <c r="F33" s="86" t="s">
        <v>235</v>
      </c>
      <c r="G33" s="86" t="n">
        <v>38.5</v>
      </c>
      <c r="H33" s="87" t="n">
        <v>5698</v>
      </c>
      <c r="I33" s="87" t="n">
        <v>4168</v>
      </c>
      <c r="J33" s="87" t="n">
        <v>3774</v>
      </c>
      <c r="K33" s="88" t="n">
        <v>1344660</v>
      </c>
      <c r="L33" s="88" t="n">
        <v>1424900</v>
      </c>
      <c r="M33" s="88" t="n">
        <v>561440</v>
      </c>
      <c r="N33" s="88" t="n">
        <v>312660</v>
      </c>
      <c r="O33" s="88" t="n">
        <v>739200</v>
      </c>
      <c r="P33" s="40" t="n">
        <f aca="false">INDEX(Pricing_Analysis!$B$6:$B$11,MATCH(E33,Pricing_Analysis!$A$6:$A$11,0))</f>
        <v>390</v>
      </c>
      <c r="Q33" s="39" t="n">
        <f aca="false">I33*P33</f>
        <v>1625520</v>
      </c>
      <c r="R33" s="39" t="n">
        <f aca="false">(I33-J33)*P33</f>
        <v>153660</v>
      </c>
      <c r="S33" s="39" t="n">
        <f aca="false">K33-M33-N33</f>
        <v>470560</v>
      </c>
    </row>
    <row r="34" customFormat="false" ht="15" hidden="false" customHeight="false" outlineLevel="0" collapsed="false">
      <c r="A34" s="89" t="n">
        <v>45809</v>
      </c>
      <c r="B34" s="90" t="n">
        <v>2025</v>
      </c>
      <c r="C34" s="90" t="n">
        <v>6</v>
      </c>
      <c r="D34" s="90" t="s">
        <v>119</v>
      </c>
      <c r="E34" s="90" t="s">
        <v>61</v>
      </c>
      <c r="F34" s="90" t="s">
        <v>235</v>
      </c>
      <c r="G34" s="90" t="n">
        <v>29.8</v>
      </c>
      <c r="H34" s="91" t="n">
        <v>4410</v>
      </c>
      <c r="I34" s="91" t="n">
        <v>3241</v>
      </c>
      <c r="J34" s="91" t="n">
        <v>2895</v>
      </c>
      <c r="K34" s="92" t="n">
        <v>974410</v>
      </c>
      <c r="L34" s="92" t="n">
        <v>967400</v>
      </c>
      <c r="M34" s="92" t="n">
        <v>433570</v>
      </c>
      <c r="N34" s="92" t="n">
        <v>233640</v>
      </c>
      <c r="O34" s="92" t="n">
        <v>422000</v>
      </c>
      <c r="P34" s="93" t="n">
        <f aca="false">INDEX(Pricing_Analysis!$B$6:$B$11,MATCH(E34,Pricing_Analysis!$A$6:$A$11,0))</f>
        <v>370</v>
      </c>
      <c r="Q34" s="94" t="n">
        <f aca="false">I34*P34</f>
        <v>1199170</v>
      </c>
      <c r="R34" s="94" t="n">
        <f aca="false">(I34-J34)*P34</f>
        <v>128020</v>
      </c>
      <c r="S34" s="94" t="n">
        <f aca="false">K34-M34-N34</f>
        <v>307200</v>
      </c>
    </row>
    <row r="35" customFormat="false" ht="15" hidden="false" customHeight="false" outlineLevel="0" collapsed="false">
      <c r="A35" s="85" t="n">
        <v>45809</v>
      </c>
      <c r="B35" s="86" t="n">
        <v>2025</v>
      </c>
      <c r="C35" s="86" t="n">
        <v>6</v>
      </c>
      <c r="D35" s="86" t="s">
        <v>119</v>
      </c>
      <c r="E35" s="86" t="s">
        <v>62</v>
      </c>
      <c r="F35" s="86" t="s">
        <v>235</v>
      </c>
      <c r="G35" s="86" t="n">
        <v>25.6</v>
      </c>
      <c r="H35" s="87" t="n">
        <v>3789</v>
      </c>
      <c r="I35" s="87" t="n">
        <v>2507</v>
      </c>
      <c r="J35" s="87" t="n">
        <v>2260</v>
      </c>
      <c r="K35" s="88" t="n">
        <v>704660</v>
      </c>
      <c r="L35" s="88" t="n">
        <v>719300</v>
      </c>
      <c r="M35" s="88" t="n">
        <v>404740</v>
      </c>
      <c r="N35" s="88" t="n">
        <v>168020</v>
      </c>
      <c r="O35" s="88" t="n">
        <v>483000</v>
      </c>
      <c r="P35" s="40" t="n">
        <f aca="false">INDEX(Pricing_Analysis!$B$6:$B$11,MATCH(E35,Pricing_Analysis!$A$6:$A$11,0))</f>
        <v>340</v>
      </c>
      <c r="Q35" s="39" t="n">
        <f aca="false">I35*P35</f>
        <v>852380</v>
      </c>
      <c r="R35" s="39" t="n">
        <f aca="false">(I35-J35)*P35</f>
        <v>83980</v>
      </c>
      <c r="S35" s="39" t="n">
        <f aca="false">K35-M35-N35</f>
        <v>131900</v>
      </c>
    </row>
    <row r="36" customFormat="false" ht="15" hidden="false" customHeight="false" outlineLevel="0" collapsed="false">
      <c r="A36" s="89" t="n">
        <v>45809</v>
      </c>
      <c r="B36" s="90" t="n">
        <v>2025</v>
      </c>
      <c r="C36" s="90" t="n">
        <v>6</v>
      </c>
      <c r="D36" s="90" t="s">
        <v>119</v>
      </c>
      <c r="E36" s="90" t="s">
        <v>63</v>
      </c>
      <c r="F36" s="90" t="s">
        <v>235</v>
      </c>
      <c r="G36" s="90" t="n">
        <v>42.2</v>
      </c>
      <c r="H36" s="91" t="n">
        <v>6246</v>
      </c>
      <c r="I36" s="91" t="n">
        <v>4580</v>
      </c>
      <c r="J36" s="91" t="n">
        <v>4142</v>
      </c>
      <c r="K36" s="92" t="n">
        <v>1465620</v>
      </c>
      <c r="L36" s="92" t="n">
        <v>1350900</v>
      </c>
      <c r="M36" s="92" t="n">
        <v>651750</v>
      </c>
      <c r="N36" s="92" t="n">
        <v>341270</v>
      </c>
      <c r="O36" s="92" t="n">
        <v>604800</v>
      </c>
      <c r="P36" s="93" t="n">
        <f aca="false">INDEX(Pricing_Analysis!$B$6:$B$11,MATCH(E36,Pricing_Analysis!$A$6:$A$11,0))</f>
        <v>410</v>
      </c>
      <c r="Q36" s="94" t="n">
        <f aca="false">I36*P36</f>
        <v>1877800</v>
      </c>
      <c r="R36" s="94" t="n">
        <f aca="false">(I36-J36)*P36</f>
        <v>179580</v>
      </c>
      <c r="S36" s="94" t="n">
        <f aca="false">K36-M36-N36</f>
        <v>472600</v>
      </c>
    </row>
    <row r="37" customFormat="false" ht="15" hidden="false" customHeight="false" outlineLevel="0" collapsed="false">
      <c r="A37" s="85" t="n">
        <v>45809</v>
      </c>
      <c r="B37" s="86" t="n">
        <v>2025</v>
      </c>
      <c r="C37" s="86" t="n">
        <v>6</v>
      </c>
      <c r="D37" s="86" t="s">
        <v>119</v>
      </c>
      <c r="E37" s="86" t="s">
        <v>64</v>
      </c>
      <c r="F37" s="86" t="s">
        <v>235</v>
      </c>
      <c r="G37" s="86" t="n">
        <v>21.8</v>
      </c>
      <c r="H37" s="87" t="n">
        <v>3226</v>
      </c>
      <c r="I37" s="87" t="n">
        <v>2134</v>
      </c>
      <c r="J37" s="87" t="n">
        <v>2016</v>
      </c>
      <c r="K37" s="88" t="n">
        <v>680730</v>
      </c>
      <c r="L37" s="88" t="n">
        <v>693200</v>
      </c>
      <c r="M37" s="88" t="n">
        <v>349070</v>
      </c>
      <c r="N37" s="88" t="n">
        <v>145410</v>
      </c>
      <c r="O37" s="88" t="n">
        <v>426900</v>
      </c>
      <c r="P37" s="40" t="n">
        <f aca="false">INDEX(Pricing_Analysis!$B$6:$B$11,MATCH(E37,Pricing_Analysis!$A$6:$A$11,0))</f>
        <v>355</v>
      </c>
      <c r="Q37" s="39" t="n">
        <f aca="false">I37*P37</f>
        <v>757570</v>
      </c>
      <c r="R37" s="39" t="n">
        <f aca="false">(I37-J37)*P37</f>
        <v>41890</v>
      </c>
      <c r="S37" s="39" t="n">
        <f aca="false">K37-M37-N37</f>
        <v>186250</v>
      </c>
    </row>
    <row r="38" customFormat="false" ht="15" hidden="false" customHeight="false" outlineLevel="0" collapsed="false">
      <c r="A38" s="89" t="n">
        <v>45809</v>
      </c>
      <c r="B38" s="90" t="n">
        <v>2025</v>
      </c>
      <c r="C38" s="90" t="n">
        <v>6</v>
      </c>
      <c r="D38" s="90" t="s">
        <v>119</v>
      </c>
      <c r="E38" s="90" t="s">
        <v>65</v>
      </c>
      <c r="F38" s="90" t="s">
        <v>235</v>
      </c>
      <c r="G38" s="90" t="n">
        <v>14.4</v>
      </c>
      <c r="H38" s="91" t="n">
        <v>2131</v>
      </c>
      <c r="I38" s="91" t="n">
        <v>1330</v>
      </c>
      <c r="J38" s="91" t="n">
        <v>1176</v>
      </c>
      <c r="K38" s="92" t="n">
        <v>357860</v>
      </c>
      <c r="L38" s="92" t="n">
        <v>336700</v>
      </c>
      <c r="M38" s="92" t="n">
        <v>221860</v>
      </c>
      <c r="N38" s="92" t="n">
        <v>81420</v>
      </c>
      <c r="O38" s="92" t="n">
        <v>239200</v>
      </c>
      <c r="P38" s="93" t="n">
        <f aca="false">INDEX(Pricing_Analysis!$B$6:$B$11,MATCH(E38,Pricing_Analysis!$A$6:$A$11,0))</f>
        <v>330</v>
      </c>
      <c r="Q38" s="94" t="n">
        <f aca="false">I38*P38</f>
        <v>438900</v>
      </c>
      <c r="R38" s="94" t="n">
        <f aca="false">(I38-J38)*P38</f>
        <v>50820</v>
      </c>
      <c r="S38" s="94" t="n">
        <f aca="false">K38-M38-N38</f>
        <v>54580</v>
      </c>
    </row>
    <row r="39" customFormat="false" ht="15" hidden="false" customHeight="false" outlineLevel="0" collapsed="false">
      <c r="A39" s="85" t="n">
        <v>45839</v>
      </c>
      <c r="B39" s="86" t="n">
        <v>2025</v>
      </c>
      <c r="C39" s="86" t="n">
        <v>7</v>
      </c>
      <c r="D39" s="86" t="s">
        <v>120</v>
      </c>
      <c r="E39" s="86" t="s">
        <v>60</v>
      </c>
      <c r="F39" s="86" t="s">
        <v>235</v>
      </c>
      <c r="G39" s="86" t="n">
        <v>38</v>
      </c>
      <c r="H39" s="87" t="n">
        <v>5624</v>
      </c>
      <c r="I39" s="87" t="n">
        <v>3885</v>
      </c>
      <c r="J39" s="87" t="n">
        <v>3664</v>
      </c>
      <c r="K39" s="88" t="n">
        <v>1367140</v>
      </c>
      <c r="L39" s="88" t="n">
        <v>1464300</v>
      </c>
      <c r="M39" s="88" t="n">
        <v>586240</v>
      </c>
      <c r="N39" s="88" t="n">
        <v>313180</v>
      </c>
      <c r="O39" s="88" t="n">
        <v>576500</v>
      </c>
      <c r="P39" s="40" t="n">
        <f aca="false">INDEX(Pricing_Analysis!$B$6:$B$11,MATCH(E39,Pricing_Analysis!$A$6:$A$11,0))</f>
        <v>390</v>
      </c>
      <c r="Q39" s="39" t="n">
        <f aca="false">I39*P39</f>
        <v>1515150</v>
      </c>
      <c r="R39" s="39" t="n">
        <f aca="false">(I39-J39)*P39</f>
        <v>86190</v>
      </c>
      <c r="S39" s="39" t="n">
        <f aca="false">K39-M39-N39</f>
        <v>467720</v>
      </c>
    </row>
    <row r="40" customFormat="false" ht="15" hidden="false" customHeight="false" outlineLevel="0" collapsed="false">
      <c r="A40" s="89" t="n">
        <v>45839</v>
      </c>
      <c r="B40" s="90" t="n">
        <v>2025</v>
      </c>
      <c r="C40" s="90" t="n">
        <v>7</v>
      </c>
      <c r="D40" s="90" t="s">
        <v>120</v>
      </c>
      <c r="E40" s="90" t="s">
        <v>61</v>
      </c>
      <c r="F40" s="90" t="s">
        <v>235</v>
      </c>
      <c r="G40" s="90" t="n">
        <v>30.4</v>
      </c>
      <c r="H40" s="91" t="n">
        <v>4499</v>
      </c>
      <c r="I40" s="91" t="n">
        <v>3094</v>
      </c>
      <c r="J40" s="91" t="n">
        <v>2852</v>
      </c>
      <c r="K40" s="92" t="n">
        <v>994190</v>
      </c>
      <c r="L40" s="92" t="n">
        <v>948600</v>
      </c>
      <c r="M40" s="92" t="n">
        <v>495520</v>
      </c>
      <c r="N40" s="92" t="n">
        <v>247380</v>
      </c>
      <c r="O40" s="92" t="n">
        <v>688100</v>
      </c>
      <c r="P40" s="93" t="n">
        <f aca="false">INDEX(Pricing_Analysis!$B$6:$B$11,MATCH(E40,Pricing_Analysis!$A$6:$A$11,0))</f>
        <v>370</v>
      </c>
      <c r="Q40" s="94" t="n">
        <f aca="false">I40*P40</f>
        <v>1144780</v>
      </c>
      <c r="R40" s="94" t="n">
        <f aca="false">(I40-J40)*P40</f>
        <v>89540</v>
      </c>
      <c r="S40" s="94" t="n">
        <f aca="false">K40-M40-N40</f>
        <v>251290</v>
      </c>
    </row>
    <row r="41" customFormat="false" ht="15" hidden="false" customHeight="false" outlineLevel="0" collapsed="false">
      <c r="A41" s="85" t="n">
        <v>45839</v>
      </c>
      <c r="B41" s="86" t="n">
        <v>2025</v>
      </c>
      <c r="C41" s="86" t="n">
        <v>7</v>
      </c>
      <c r="D41" s="86" t="s">
        <v>120</v>
      </c>
      <c r="E41" s="86" t="s">
        <v>62</v>
      </c>
      <c r="F41" s="86" t="s">
        <v>235</v>
      </c>
      <c r="G41" s="86" t="n">
        <v>26.2</v>
      </c>
      <c r="H41" s="87" t="n">
        <v>3878</v>
      </c>
      <c r="I41" s="87" t="n">
        <v>2581</v>
      </c>
      <c r="J41" s="87" t="n">
        <v>2290</v>
      </c>
      <c r="K41" s="88" t="n">
        <v>733930</v>
      </c>
      <c r="L41" s="88" t="n">
        <v>775700</v>
      </c>
      <c r="M41" s="88" t="n">
        <v>398160</v>
      </c>
      <c r="N41" s="88" t="n">
        <v>143090</v>
      </c>
      <c r="O41" s="88" t="n">
        <v>370100</v>
      </c>
      <c r="P41" s="40" t="n">
        <f aca="false">INDEX(Pricing_Analysis!$B$6:$B$11,MATCH(E41,Pricing_Analysis!$A$6:$A$11,0))</f>
        <v>340</v>
      </c>
      <c r="Q41" s="39" t="n">
        <f aca="false">I41*P41</f>
        <v>877540</v>
      </c>
      <c r="R41" s="39" t="n">
        <f aca="false">(I41-J41)*P41</f>
        <v>98940</v>
      </c>
      <c r="S41" s="39" t="n">
        <f aca="false">K41-M41-N41</f>
        <v>192680</v>
      </c>
    </row>
    <row r="42" customFormat="false" ht="15" hidden="false" customHeight="false" outlineLevel="0" collapsed="false">
      <c r="A42" s="89" t="n">
        <v>45839</v>
      </c>
      <c r="B42" s="90" t="n">
        <v>2025</v>
      </c>
      <c r="C42" s="90" t="n">
        <v>7</v>
      </c>
      <c r="D42" s="90" t="s">
        <v>120</v>
      </c>
      <c r="E42" s="90" t="s">
        <v>63</v>
      </c>
      <c r="F42" s="90" t="s">
        <v>235</v>
      </c>
      <c r="G42" s="90" t="n">
        <v>42.2</v>
      </c>
      <c r="H42" s="91" t="n">
        <v>6246</v>
      </c>
      <c r="I42" s="91" t="n">
        <v>4525</v>
      </c>
      <c r="J42" s="91" t="n">
        <v>4095</v>
      </c>
      <c r="K42" s="92" t="n">
        <v>1435670</v>
      </c>
      <c r="L42" s="92" t="n">
        <v>1506700</v>
      </c>
      <c r="M42" s="92" t="n">
        <v>617310</v>
      </c>
      <c r="N42" s="92" t="n">
        <v>341680</v>
      </c>
      <c r="O42" s="92" t="n">
        <v>589400</v>
      </c>
      <c r="P42" s="93" t="n">
        <f aca="false">INDEX(Pricing_Analysis!$B$6:$B$11,MATCH(E42,Pricing_Analysis!$A$6:$A$11,0))</f>
        <v>410</v>
      </c>
      <c r="Q42" s="94" t="n">
        <f aca="false">I42*P42</f>
        <v>1855250</v>
      </c>
      <c r="R42" s="94" t="n">
        <f aca="false">(I42-J42)*P42</f>
        <v>176300</v>
      </c>
      <c r="S42" s="94" t="n">
        <f aca="false">K42-M42-N42</f>
        <v>476680</v>
      </c>
    </row>
    <row r="43" customFormat="false" ht="15" hidden="false" customHeight="false" outlineLevel="0" collapsed="false">
      <c r="A43" s="85" t="n">
        <v>45839</v>
      </c>
      <c r="B43" s="86" t="n">
        <v>2025</v>
      </c>
      <c r="C43" s="86" t="n">
        <v>7</v>
      </c>
      <c r="D43" s="86" t="s">
        <v>120</v>
      </c>
      <c r="E43" s="86" t="s">
        <v>64</v>
      </c>
      <c r="F43" s="86" t="s">
        <v>235</v>
      </c>
      <c r="G43" s="86" t="n">
        <v>22</v>
      </c>
      <c r="H43" s="87" t="n">
        <v>3256</v>
      </c>
      <c r="I43" s="87" t="n">
        <v>2101</v>
      </c>
      <c r="J43" s="87" t="n">
        <v>1930</v>
      </c>
      <c r="K43" s="88" t="n">
        <v>637170</v>
      </c>
      <c r="L43" s="88" t="n">
        <v>638900</v>
      </c>
      <c r="M43" s="88" t="n">
        <v>350840</v>
      </c>
      <c r="N43" s="88" t="n">
        <v>153170</v>
      </c>
      <c r="O43" s="88" t="n">
        <v>376700</v>
      </c>
      <c r="P43" s="40" t="n">
        <f aca="false">INDEX(Pricing_Analysis!$B$6:$B$11,MATCH(E43,Pricing_Analysis!$A$6:$A$11,0))</f>
        <v>355</v>
      </c>
      <c r="Q43" s="39" t="n">
        <f aca="false">I43*P43</f>
        <v>745855</v>
      </c>
      <c r="R43" s="39" t="n">
        <f aca="false">(I43-J43)*P43</f>
        <v>60705</v>
      </c>
      <c r="S43" s="39" t="n">
        <f aca="false">K43-M43-N43</f>
        <v>133160</v>
      </c>
    </row>
    <row r="44" customFormat="false" ht="15" hidden="false" customHeight="false" outlineLevel="0" collapsed="false">
      <c r="A44" s="89" t="n">
        <v>45839</v>
      </c>
      <c r="B44" s="90" t="n">
        <v>2025</v>
      </c>
      <c r="C44" s="90" t="n">
        <v>7</v>
      </c>
      <c r="D44" s="90" t="s">
        <v>120</v>
      </c>
      <c r="E44" s="90" t="s">
        <v>65</v>
      </c>
      <c r="F44" s="90" t="s">
        <v>235</v>
      </c>
      <c r="G44" s="90" t="n">
        <v>14.6</v>
      </c>
      <c r="H44" s="91" t="n">
        <v>2161</v>
      </c>
      <c r="I44" s="91" t="n">
        <v>1312</v>
      </c>
      <c r="J44" s="91" t="n">
        <v>1161</v>
      </c>
      <c r="K44" s="92" t="n">
        <v>339990</v>
      </c>
      <c r="L44" s="92" t="n">
        <v>324800</v>
      </c>
      <c r="M44" s="92" t="n">
        <v>227080</v>
      </c>
      <c r="N44" s="92" t="n">
        <v>70520</v>
      </c>
      <c r="O44" s="92" t="n">
        <v>205700</v>
      </c>
      <c r="P44" s="93" t="n">
        <f aca="false">INDEX(Pricing_Analysis!$B$6:$B$11,MATCH(E44,Pricing_Analysis!$A$6:$A$11,0))</f>
        <v>330</v>
      </c>
      <c r="Q44" s="94" t="n">
        <f aca="false">I44*P44</f>
        <v>432960</v>
      </c>
      <c r="R44" s="94" t="n">
        <f aca="false">(I44-J44)*P44</f>
        <v>49830</v>
      </c>
      <c r="S44" s="94" t="n">
        <f aca="false">K44-M44-N44</f>
        <v>42390</v>
      </c>
    </row>
    <row r="45" customFormat="false" ht="15" hidden="false" customHeight="false" outlineLevel="0" collapsed="false">
      <c r="A45" s="85" t="n">
        <v>45870</v>
      </c>
      <c r="B45" s="86" t="n">
        <v>2025</v>
      </c>
      <c r="C45" s="86" t="n">
        <v>8</v>
      </c>
      <c r="D45" s="86" t="s">
        <v>121</v>
      </c>
      <c r="E45" s="86" t="s">
        <v>60</v>
      </c>
      <c r="F45" s="86" t="s">
        <v>235</v>
      </c>
      <c r="G45" s="86" t="n">
        <v>38.4</v>
      </c>
      <c r="H45" s="87" t="n">
        <v>5285</v>
      </c>
      <c r="I45" s="87" t="n">
        <v>3152</v>
      </c>
      <c r="J45" s="87" t="n">
        <v>2967</v>
      </c>
      <c r="K45" s="88" t="n">
        <v>1091620</v>
      </c>
      <c r="L45" s="88" t="n">
        <v>1058700</v>
      </c>
      <c r="M45" s="88" t="n">
        <v>586080</v>
      </c>
      <c r="N45" s="88" t="n">
        <v>262770</v>
      </c>
      <c r="O45" s="88" t="n">
        <v>726100</v>
      </c>
      <c r="P45" s="40" t="n">
        <f aca="false">INDEX(Pricing_Analysis!$B$6:$B$11,MATCH(E45,Pricing_Analysis!$A$6:$A$11,0))</f>
        <v>390</v>
      </c>
      <c r="Q45" s="39" t="n">
        <f aca="false">I45*P45</f>
        <v>1229280</v>
      </c>
      <c r="R45" s="39" t="n">
        <f aca="false">(I45-J45)*P45</f>
        <v>72150</v>
      </c>
      <c r="S45" s="39" t="n">
        <f aca="false">K45-M45-N45</f>
        <v>242770</v>
      </c>
    </row>
    <row r="46" customFormat="false" ht="15" hidden="false" customHeight="false" outlineLevel="0" collapsed="false">
      <c r="A46" s="89" t="n">
        <v>45870</v>
      </c>
      <c r="B46" s="90" t="n">
        <v>2025</v>
      </c>
      <c r="C46" s="90" t="n">
        <v>8</v>
      </c>
      <c r="D46" s="90" t="s">
        <v>121</v>
      </c>
      <c r="E46" s="90" t="s">
        <v>61</v>
      </c>
      <c r="F46" s="90" t="s">
        <v>235</v>
      </c>
      <c r="G46" s="90" t="n">
        <v>30</v>
      </c>
      <c r="H46" s="91" t="n">
        <v>4129</v>
      </c>
      <c r="I46" s="91" t="n">
        <v>2470</v>
      </c>
      <c r="J46" s="91" t="n">
        <v>2314</v>
      </c>
      <c r="K46" s="92" t="n">
        <v>797400</v>
      </c>
      <c r="L46" s="92" t="n">
        <v>806700</v>
      </c>
      <c r="M46" s="92" t="n">
        <v>447060</v>
      </c>
      <c r="N46" s="92" t="n">
        <v>177150</v>
      </c>
      <c r="O46" s="92" t="n">
        <v>419500</v>
      </c>
      <c r="P46" s="93" t="n">
        <f aca="false">INDEX(Pricing_Analysis!$B$6:$B$11,MATCH(E46,Pricing_Analysis!$A$6:$A$11,0))</f>
        <v>370</v>
      </c>
      <c r="Q46" s="94" t="n">
        <f aca="false">I46*P46</f>
        <v>913900</v>
      </c>
      <c r="R46" s="94" t="n">
        <f aca="false">(I46-J46)*P46</f>
        <v>57720</v>
      </c>
      <c r="S46" s="94" t="n">
        <f aca="false">K46-M46-N46</f>
        <v>173190</v>
      </c>
    </row>
    <row r="47" customFormat="false" ht="15" hidden="false" customHeight="false" outlineLevel="0" collapsed="false">
      <c r="A47" s="85" t="n">
        <v>45870</v>
      </c>
      <c r="B47" s="86" t="n">
        <v>2025</v>
      </c>
      <c r="C47" s="86" t="n">
        <v>8</v>
      </c>
      <c r="D47" s="86" t="s">
        <v>121</v>
      </c>
      <c r="E47" s="86" t="s">
        <v>62</v>
      </c>
      <c r="F47" s="86" t="s">
        <v>235</v>
      </c>
      <c r="G47" s="86" t="n">
        <v>26.4</v>
      </c>
      <c r="H47" s="87" t="n">
        <v>3634</v>
      </c>
      <c r="I47" s="87" t="n">
        <v>1942</v>
      </c>
      <c r="J47" s="87" t="n">
        <v>1780</v>
      </c>
      <c r="K47" s="88" t="n">
        <v>557320</v>
      </c>
      <c r="L47" s="88" t="n">
        <v>548500</v>
      </c>
      <c r="M47" s="88" t="n">
        <v>425100</v>
      </c>
      <c r="N47" s="88" t="n">
        <v>124710</v>
      </c>
      <c r="O47" s="88" t="n">
        <v>290800</v>
      </c>
      <c r="P47" s="40" t="n">
        <f aca="false">INDEX(Pricing_Analysis!$B$6:$B$11,MATCH(E47,Pricing_Analysis!$A$6:$A$11,0))</f>
        <v>340</v>
      </c>
      <c r="Q47" s="39" t="n">
        <f aca="false">I47*P47</f>
        <v>660280</v>
      </c>
      <c r="R47" s="39" t="n">
        <f aca="false">(I47-J47)*P47</f>
        <v>55080</v>
      </c>
      <c r="S47" s="39" t="n">
        <f aca="false">K47-M47-N47</f>
        <v>7510</v>
      </c>
    </row>
    <row r="48" customFormat="false" ht="15" hidden="false" customHeight="false" outlineLevel="0" collapsed="false">
      <c r="A48" s="89" t="n">
        <v>45870</v>
      </c>
      <c r="B48" s="90" t="n">
        <v>2025</v>
      </c>
      <c r="C48" s="90" t="n">
        <v>8</v>
      </c>
      <c r="D48" s="90" t="s">
        <v>121</v>
      </c>
      <c r="E48" s="90" t="s">
        <v>63</v>
      </c>
      <c r="F48" s="90" t="s">
        <v>235</v>
      </c>
      <c r="G48" s="90" t="n">
        <v>42.5</v>
      </c>
      <c r="H48" s="91" t="n">
        <v>5850</v>
      </c>
      <c r="I48" s="91" t="n">
        <v>3425</v>
      </c>
      <c r="J48" s="91" t="n">
        <v>3107</v>
      </c>
      <c r="K48" s="92" t="n">
        <v>1115210</v>
      </c>
      <c r="L48" s="92" t="n">
        <v>1196700</v>
      </c>
      <c r="M48" s="92" t="n">
        <v>694740</v>
      </c>
      <c r="N48" s="92" t="n">
        <v>229900</v>
      </c>
      <c r="O48" s="92" t="n">
        <v>575000</v>
      </c>
      <c r="P48" s="93" t="n">
        <f aca="false">INDEX(Pricing_Analysis!$B$6:$B$11,MATCH(E48,Pricing_Analysis!$A$6:$A$11,0))</f>
        <v>410</v>
      </c>
      <c r="Q48" s="94" t="n">
        <f aca="false">I48*P48</f>
        <v>1404250</v>
      </c>
      <c r="R48" s="94" t="n">
        <f aca="false">(I48-J48)*P48</f>
        <v>130380</v>
      </c>
      <c r="S48" s="94" t="n">
        <f aca="false">K48-M48-N48</f>
        <v>190570</v>
      </c>
    </row>
    <row r="49" customFormat="false" ht="15" hidden="false" customHeight="false" outlineLevel="0" collapsed="false">
      <c r="A49" s="85" t="n">
        <v>45870</v>
      </c>
      <c r="B49" s="86" t="n">
        <v>2025</v>
      </c>
      <c r="C49" s="86" t="n">
        <v>8</v>
      </c>
      <c r="D49" s="86" t="s">
        <v>121</v>
      </c>
      <c r="E49" s="86" t="s">
        <v>64</v>
      </c>
      <c r="F49" s="86" t="s">
        <v>235</v>
      </c>
      <c r="G49" s="86" t="n">
        <v>21.9</v>
      </c>
      <c r="H49" s="87" t="n">
        <v>3014</v>
      </c>
      <c r="I49" s="87" t="n">
        <v>1629</v>
      </c>
      <c r="J49" s="87" t="n">
        <v>1548</v>
      </c>
      <c r="K49" s="88" t="n">
        <v>534610</v>
      </c>
      <c r="L49" s="88" t="n">
        <v>532600</v>
      </c>
      <c r="M49" s="88" t="n">
        <v>331440</v>
      </c>
      <c r="N49" s="88" t="n">
        <v>107720</v>
      </c>
      <c r="O49" s="88" t="n">
        <v>302700</v>
      </c>
      <c r="P49" s="40" t="n">
        <f aca="false">INDEX(Pricing_Analysis!$B$6:$B$11,MATCH(E49,Pricing_Analysis!$A$6:$A$11,0))</f>
        <v>355</v>
      </c>
      <c r="Q49" s="39" t="n">
        <f aca="false">I49*P49</f>
        <v>578295</v>
      </c>
      <c r="R49" s="39" t="n">
        <f aca="false">(I49-J49)*P49</f>
        <v>28755</v>
      </c>
      <c r="S49" s="39" t="n">
        <f aca="false">K49-M49-N49</f>
        <v>95450</v>
      </c>
    </row>
    <row r="50" customFormat="false" ht="15" hidden="false" customHeight="false" outlineLevel="0" collapsed="false">
      <c r="A50" s="89" t="n">
        <v>45870</v>
      </c>
      <c r="B50" s="90" t="n">
        <v>2025</v>
      </c>
      <c r="C50" s="90" t="n">
        <v>8</v>
      </c>
      <c r="D50" s="90" t="s">
        <v>121</v>
      </c>
      <c r="E50" s="90" t="s">
        <v>65</v>
      </c>
      <c r="F50" s="90" t="s">
        <v>235</v>
      </c>
      <c r="G50" s="90" t="n">
        <v>14.7</v>
      </c>
      <c r="H50" s="91" t="n">
        <v>2023</v>
      </c>
      <c r="I50" s="91" t="n">
        <v>1027</v>
      </c>
      <c r="J50" s="91" t="n">
        <v>901</v>
      </c>
      <c r="K50" s="92" t="n">
        <v>262820</v>
      </c>
      <c r="L50" s="92" t="n">
        <v>250000</v>
      </c>
      <c r="M50" s="92" t="n">
        <v>219830</v>
      </c>
      <c r="N50" s="92" t="n">
        <v>60770</v>
      </c>
      <c r="O50" s="92" t="n">
        <v>121600</v>
      </c>
      <c r="P50" s="93" t="n">
        <f aca="false">INDEX(Pricing_Analysis!$B$6:$B$11,MATCH(E50,Pricing_Analysis!$A$6:$A$11,0))</f>
        <v>330</v>
      </c>
      <c r="Q50" s="94" t="n">
        <f aca="false">I50*P50</f>
        <v>338910</v>
      </c>
      <c r="R50" s="94" t="n">
        <f aca="false">(I50-J50)*P50</f>
        <v>41580</v>
      </c>
      <c r="S50" s="94" t="n">
        <f aca="false">K50-M50-N50</f>
        <v>-17780</v>
      </c>
    </row>
    <row r="51" customFormat="false" ht="15" hidden="false" customHeight="false" outlineLevel="0" collapsed="false">
      <c r="A51" s="85" t="n">
        <v>45901</v>
      </c>
      <c r="B51" s="86" t="n">
        <v>2025</v>
      </c>
      <c r="C51" s="86" t="n">
        <v>9</v>
      </c>
      <c r="D51" s="86" t="s">
        <v>122</v>
      </c>
      <c r="E51" s="86" t="s">
        <v>60</v>
      </c>
      <c r="F51" s="86" t="s">
        <v>235</v>
      </c>
      <c r="G51" s="86" t="n">
        <v>38.3</v>
      </c>
      <c r="H51" s="87" t="n">
        <v>5668</v>
      </c>
      <c r="I51" s="87" t="n">
        <v>4216</v>
      </c>
      <c r="J51" s="87" t="n">
        <v>3824</v>
      </c>
      <c r="K51" s="88" t="n">
        <v>1421300</v>
      </c>
      <c r="L51" s="88" t="n">
        <v>1335500</v>
      </c>
      <c r="M51" s="88" t="n">
        <v>594450</v>
      </c>
      <c r="N51" s="88" t="n">
        <v>291410</v>
      </c>
      <c r="O51" s="88" t="n">
        <v>595800</v>
      </c>
      <c r="P51" s="40" t="n">
        <f aca="false">INDEX(Pricing_Analysis!$B$6:$B$11,MATCH(E51,Pricing_Analysis!$A$6:$A$11,0))</f>
        <v>390</v>
      </c>
      <c r="Q51" s="39" t="n">
        <f aca="false">I51*P51</f>
        <v>1644240</v>
      </c>
      <c r="R51" s="39" t="n">
        <f aca="false">(I51-J51)*P51</f>
        <v>152880</v>
      </c>
      <c r="S51" s="39" t="n">
        <f aca="false">K51-M51-N51</f>
        <v>535440</v>
      </c>
    </row>
    <row r="52" customFormat="false" ht="15" hidden="false" customHeight="false" outlineLevel="0" collapsed="false">
      <c r="A52" s="89" t="n">
        <v>45901</v>
      </c>
      <c r="B52" s="90" t="n">
        <v>2025</v>
      </c>
      <c r="C52" s="90" t="n">
        <v>9</v>
      </c>
      <c r="D52" s="90" t="s">
        <v>122</v>
      </c>
      <c r="E52" s="90" t="s">
        <v>61</v>
      </c>
      <c r="F52" s="90" t="s">
        <v>235</v>
      </c>
      <c r="G52" s="90" t="n">
        <v>30.5</v>
      </c>
      <c r="H52" s="91" t="n">
        <v>4514</v>
      </c>
      <c r="I52" s="91" t="n">
        <v>3203</v>
      </c>
      <c r="J52" s="91" t="n">
        <v>2914</v>
      </c>
      <c r="K52" s="92" t="n">
        <v>997500</v>
      </c>
      <c r="L52" s="92" t="n">
        <v>1002200</v>
      </c>
      <c r="M52" s="92" t="n">
        <v>451990</v>
      </c>
      <c r="N52" s="92" t="n">
        <v>201750</v>
      </c>
      <c r="O52" s="92" t="n">
        <v>569500</v>
      </c>
      <c r="P52" s="93" t="n">
        <f aca="false">INDEX(Pricing_Analysis!$B$6:$B$11,MATCH(E52,Pricing_Analysis!$A$6:$A$11,0))</f>
        <v>370</v>
      </c>
      <c r="Q52" s="94" t="n">
        <f aca="false">I52*P52</f>
        <v>1185110</v>
      </c>
      <c r="R52" s="94" t="n">
        <f aca="false">(I52-J52)*P52</f>
        <v>106930</v>
      </c>
      <c r="S52" s="94" t="n">
        <f aca="false">K52-M52-N52</f>
        <v>343760</v>
      </c>
    </row>
    <row r="53" customFormat="false" ht="15" hidden="false" customHeight="false" outlineLevel="0" collapsed="false">
      <c r="A53" s="85" t="n">
        <v>45901</v>
      </c>
      <c r="B53" s="86" t="n">
        <v>2025</v>
      </c>
      <c r="C53" s="86" t="n">
        <v>9</v>
      </c>
      <c r="D53" s="86" t="s">
        <v>122</v>
      </c>
      <c r="E53" s="86" t="s">
        <v>62</v>
      </c>
      <c r="F53" s="86" t="s">
        <v>235</v>
      </c>
      <c r="G53" s="86" t="n">
        <v>26.6</v>
      </c>
      <c r="H53" s="87" t="n">
        <v>3937</v>
      </c>
      <c r="I53" s="87" t="n">
        <v>2736</v>
      </c>
      <c r="J53" s="87" t="n">
        <v>2493</v>
      </c>
      <c r="K53" s="88" t="n">
        <v>785040</v>
      </c>
      <c r="L53" s="88" t="n">
        <v>829900</v>
      </c>
      <c r="M53" s="88" t="n">
        <v>398080</v>
      </c>
      <c r="N53" s="88" t="n">
        <v>184050</v>
      </c>
      <c r="O53" s="88" t="n">
        <v>497500</v>
      </c>
      <c r="P53" s="40" t="n">
        <f aca="false">INDEX(Pricing_Analysis!$B$6:$B$11,MATCH(E53,Pricing_Analysis!$A$6:$A$11,0))</f>
        <v>340</v>
      </c>
      <c r="Q53" s="39" t="n">
        <f aca="false">I53*P53</f>
        <v>930240</v>
      </c>
      <c r="R53" s="39" t="n">
        <f aca="false">(I53-J53)*P53</f>
        <v>82620</v>
      </c>
      <c r="S53" s="39" t="n">
        <f aca="false">K53-M53-N53</f>
        <v>202910</v>
      </c>
    </row>
    <row r="54" customFormat="false" ht="15" hidden="false" customHeight="false" outlineLevel="0" collapsed="false">
      <c r="A54" s="89" t="n">
        <v>45901</v>
      </c>
      <c r="B54" s="90" t="n">
        <v>2025</v>
      </c>
      <c r="C54" s="90" t="n">
        <v>9</v>
      </c>
      <c r="D54" s="90" t="s">
        <v>122</v>
      </c>
      <c r="E54" s="90" t="s">
        <v>63</v>
      </c>
      <c r="F54" s="90" t="s">
        <v>235</v>
      </c>
      <c r="G54" s="90" t="n">
        <v>42.9</v>
      </c>
      <c r="H54" s="91" t="n">
        <v>6349</v>
      </c>
      <c r="I54" s="91" t="n">
        <v>4711</v>
      </c>
      <c r="J54" s="91" t="n">
        <v>4226</v>
      </c>
      <c r="K54" s="92" t="n">
        <v>1563420</v>
      </c>
      <c r="L54" s="92" t="n">
        <v>1492900</v>
      </c>
      <c r="M54" s="92" t="n">
        <v>707710</v>
      </c>
      <c r="N54" s="92" t="n">
        <v>380310</v>
      </c>
      <c r="O54" s="92" t="n">
        <v>620500</v>
      </c>
      <c r="P54" s="93" t="n">
        <f aca="false">INDEX(Pricing_Analysis!$B$6:$B$11,MATCH(E54,Pricing_Analysis!$A$6:$A$11,0))</f>
        <v>410</v>
      </c>
      <c r="Q54" s="94" t="n">
        <f aca="false">I54*P54</f>
        <v>1931510</v>
      </c>
      <c r="R54" s="94" t="n">
        <f aca="false">(I54-J54)*P54</f>
        <v>198850</v>
      </c>
      <c r="S54" s="94" t="n">
        <f aca="false">K54-M54-N54</f>
        <v>475400</v>
      </c>
    </row>
    <row r="55" customFormat="false" ht="15" hidden="false" customHeight="false" outlineLevel="0" collapsed="false">
      <c r="A55" s="85" t="n">
        <v>45901</v>
      </c>
      <c r="B55" s="86" t="n">
        <v>2025</v>
      </c>
      <c r="C55" s="86" t="n">
        <v>9</v>
      </c>
      <c r="D55" s="86" t="s">
        <v>122</v>
      </c>
      <c r="E55" s="86" t="s">
        <v>64</v>
      </c>
      <c r="F55" s="86" t="s">
        <v>235</v>
      </c>
      <c r="G55" s="86" t="n">
        <v>22.2</v>
      </c>
      <c r="H55" s="87" t="n">
        <v>3286</v>
      </c>
      <c r="I55" s="87" t="n">
        <v>2258</v>
      </c>
      <c r="J55" s="87" t="n">
        <v>2086</v>
      </c>
      <c r="K55" s="88" t="n">
        <v>686490</v>
      </c>
      <c r="L55" s="88" t="n">
        <v>723000</v>
      </c>
      <c r="M55" s="88" t="n">
        <v>340620</v>
      </c>
      <c r="N55" s="88" t="n">
        <v>162970</v>
      </c>
      <c r="O55" s="88" t="n">
        <v>270500</v>
      </c>
      <c r="P55" s="40" t="n">
        <f aca="false">INDEX(Pricing_Analysis!$B$6:$B$11,MATCH(E55,Pricing_Analysis!$A$6:$A$11,0))</f>
        <v>355</v>
      </c>
      <c r="Q55" s="39" t="n">
        <f aca="false">I55*P55</f>
        <v>801590</v>
      </c>
      <c r="R55" s="39" t="n">
        <f aca="false">(I55-J55)*P55</f>
        <v>61060</v>
      </c>
      <c r="S55" s="39" t="n">
        <f aca="false">K55-M55-N55</f>
        <v>182900</v>
      </c>
    </row>
    <row r="56" customFormat="false" ht="15" hidden="false" customHeight="false" outlineLevel="0" collapsed="false">
      <c r="A56" s="89" t="n">
        <v>45901</v>
      </c>
      <c r="B56" s="90" t="n">
        <v>2025</v>
      </c>
      <c r="C56" s="90" t="n">
        <v>9</v>
      </c>
      <c r="D56" s="90" t="s">
        <v>122</v>
      </c>
      <c r="E56" s="90" t="s">
        <v>65</v>
      </c>
      <c r="F56" s="90" t="s">
        <v>235</v>
      </c>
      <c r="G56" s="90" t="n">
        <v>14.4</v>
      </c>
      <c r="H56" s="91" t="n">
        <v>2131</v>
      </c>
      <c r="I56" s="91" t="n">
        <v>1413</v>
      </c>
      <c r="J56" s="91" t="n">
        <v>1194</v>
      </c>
      <c r="K56" s="92" t="n">
        <v>352120</v>
      </c>
      <c r="L56" s="92" t="n">
        <v>362400</v>
      </c>
      <c r="M56" s="92" t="n">
        <v>235050</v>
      </c>
      <c r="N56" s="92" t="n">
        <v>87360</v>
      </c>
      <c r="O56" s="92" t="n">
        <v>137500</v>
      </c>
      <c r="P56" s="93" t="n">
        <f aca="false">INDEX(Pricing_Analysis!$B$6:$B$11,MATCH(E56,Pricing_Analysis!$A$6:$A$11,0))</f>
        <v>330</v>
      </c>
      <c r="Q56" s="94" t="n">
        <f aca="false">I56*P56</f>
        <v>466290</v>
      </c>
      <c r="R56" s="94" t="n">
        <f aca="false">(I56-J56)*P56</f>
        <v>72270</v>
      </c>
      <c r="S56" s="94" t="n">
        <f aca="false">K56-M56-N56</f>
        <v>29710</v>
      </c>
    </row>
    <row r="57" customFormat="false" ht="15" hidden="false" customHeight="false" outlineLevel="0" collapsed="false">
      <c r="A57" s="85" t="n">
        <v>45931</v>
      </c>
      <c r="B57" s="86" t="n">
        <v>2025</v>
      </c>
      <c r="C57" s="86" t="n">
        <v>10</v>
      </c>
      <c r="D57" s="86" t="s">
        <v>123</v>
      </c>
      <c r="E57" s="86" t="s">
        <v>60</v>
      </c>
      <c r="F57" s="86" t="s">
        <v>235</v>
      </c>
      <c r="G57" s="86" t="n">
        <v>38.6</v>
      </c>
      <c r="H57" s="87" t="n">
        <v>5599</v>
      </c>
      <c r="I57" s="87" t="n">
        <v>4342</v>
      </c>
      <c r="J57" s="87" t="n">
        <v>4018</v>
      </c>
      <c r="K57" s="88" t="n">
        <v>1489410</v>
      </c>
      <c r="L57" s="88" t="n">
        <v>1415300</v>
      </c>
      <c r="M57" s="88" t="n">
        <v>565150</v>
      </c>
      <c r="N57" s="88" t="n">
        <v>292480</v>
      </c>
      <c r="O57" s="88" t="n">
        <v>540800</v>
      </c>
      <c r="P57" s="40" t="n">
        <f aca="false">INDEX(Pricing_Analysis!$B$6:$B$11,MATCH(E57,Pricing_Analysis!$A$6:$A$11,0))</f>
        <v>390</v>
      </c>
      <c r="Q57" s="39" t="n">
        <f aca="false">I57*P57</f>
        <v>1693380</v>
      </c>
      <c r="R57" s="39" t="n">
        <f aca="false">(I57-J57)*P57</f>
        <v>126360</v>
      </c>
      <c r="S57" s="39" t="n">
        <f aca="false">K57-M57-N57</f>
        <v>631780</v>
      </c>
    </row>
    <row r="58" customFormat="false" ht="15" hidden="false" customHeight="false" outlineLevel="0" collapsed="false">
      <c r="A58" s="89" t="n">
        <v>45931</v>
      </c>
      <c r="B58" s="90" t="n">
        <v>2025</v>
      </c>
      <c r="C58" s="90" t="n">
        <v>10</v>
      </c>
      <c r="D58" s="90" t="s">
        <v>123</v>
      </c>
      <c r="E58" s="90" t="s">
        <v>61</v>
      </c>
      <c r="F58" s="90" t="s">
        <v>235</v>
      </c>
      <c r="G58" s="90" t="n">
        <v>30.7</v>
      </c>
      <c r="H58" s="91" t="n">
        <v>4453</v>
      </c>
      <c r="I58" s="91" t="n">
        <v>3275</v>
      </c>
      <c r="J58" s="91" t="n">
        <v>3008</v>
      </c>
      <c r="K58" s="92" t="n">
        <v>1013100</v>
      </c>
      <c r="L58" s="92" t="n">
        <v>962000</v>
      </c>
      <c r="M58" s="92" t="n">
        <v>457670</v>
      </c>
      <c r="N58" s="92" t="n">
        <v>243560</v>
      </c>
      <c r="O58" s="92" t="n">
        <v>705700</v>
      </c>
      <c r="P58" s="93" t="n">
        <f aca="false">INDEX(Pricing_Analysis!$B$6:$B$11,MATCH(E58,Pricing_Analysis!$A$6:$A$11,0))</f>
        <v>370</v>
      </c>
      <c r="Q58" s="94" t="n">
        <f aca="false">I58*P58</f>
        <v>1211750</v>
      </c>
      <c r="R58" s="94" t="n">
        <f aca="false">(I58-J58)*P58</f>
        <v>98790</v>
      </c>
      <c r="S58" s="94" t="n">
        <f aca="false">K58-M58-N58</f>
        <v>311870</v>
      </c>
    </row>
    <row r="59" customFormat="false" ht="15" hidden="false" customHeight="false" outlineLevel="0" collapsed="false">
      <c r="A59" s="85" t="n">
        <v>45931</v>
      </c>
      <c r="B59" s="86" t="n">
        <v>2025</v>
      </c>
      <c r="C59" s="86" t="n">
        <v>10</v>
      </c>
      <c r="D59" s="86" t="s">
        <v>123</v>
      </c>
      <c r="E59" s="86" t="s">
        <v>62</v>
      </c>
      <c r="F59" s="86" t="s">
        <v>235</v>
      </c>
      <c r="G59" s="86" t="n">
        <v>27</v>
      </c>
      <c r="H59" s="87" t="n">
        <v>3916</v>
      </c>
      <c r="I59" s="87" t="n">
        <v>2678</v>
      </c>
      <c r="J59" s="87" t="n">
        <v>2345</v>
      </c>
      <c r="K59" s="88" t="n">
        <v>753390</v>
      </c>
      <c r="L59" s="88" t="n">
        <v>748800</v>
      </c>
      <c r="M59" s="88" t="n">
        <v>432790</v>
      </c>
      <c r="N59" s="88" t="n">
        <v>157920</v>
      </c>
      <c r="O59" s="88" t="n">
        <v>386800</v>
      </c>
      <c r="P59" s="40" t="n">
        <f aca="false">INDEX(Pricing_Analysis!$B$6:$B$11,MATCH(E59,Pricing_Analysis!$A$6:$A$11,0))</f>
        <v>340</v>
      </c>
      <c r="Q59" s="39" t="n">
        <f aca="false">I59*P59</f>
        <v>910520</v>
      </c>
      <c r="R59" s="39" t="n">
        <f aca="false">(I59-J59)*P59</f>
        <v>113220</v>
      </c>
      <c r="S59" s="39" t="n">
        <f aca="false">K59-M59-N59</f>
        <v>162680</v>
      </c>
    </row>
    <row r="60" customFormat="false" ht="15" hidden="false" customHeight="false" outlineLevel="0" collapsed="false">
      <c r="A60" s="89" t="n">
        <v>45931</v>
      </c>
      <c r="B60" s="90" t="n">
        <v>2025</v>
      </c>
      <c r="C60" s="90" t="n">
        <v>10</v>
      </c>
      <c r="D60" s="90" t="s">
        <v>123</v>
      </c>
      <c r="E60" s="90" t="s">
        <v>63</v>
      </c>
      <c r="F60" s="90" t="s">
        <v>235</v>
      </c>
      <c r="G60" s="90" t="n">
        <v>42.6</v>
      </c>
      <c r="H60" s="91" t="n">
        <v>6179</v>
      </c>
      <c r="I60" s="91" t="n">
        <v>4771</v>
      </c>
      <c r="J60" s="91" t="n">
        <v>4342</v>
      </c>
      <c r="K60" s="92" t="n">
        <v>1520840</v>
      </c>
      <c r="L60" s="92" t="n">
        <v>1569800</v>
      </c>
      <c r="M60" s="92" t="n">
        <v>689630</v>
      </c>
      <c r="N60" s="92" t="n">
        <v>305500</v>
      </c>
      <c r="O60" s="92" t="n">
        <v>773900</v>
      </c>
      <c r="P60" s="93" t="n">
        <f aca="false">INDEX(Pricing_Analysis!$B$6:$B$11,MATCH(E60,Pricing_Analysis!$A$6:$A$11,0))</f>
        <v>410</v>
      </c>
      <c r="Q60" s="94" t="n">
        <f aca="false">I60*P60</f>
        <v>1956110</v>
      </c>
      <c r="R60" s="94" t="n">
        <f aca="false">(I60-J60)*P60</f>
        <v>175890</v>
      </c>
      <c r="S60" s="94" t="n">
        <f aca="false">K60-M60-N60</f>
        <v>525710</v>
      </c>
    </row>
    <row r="61" customFormat="false" ht="15" hidden="false" customHeight="false" outlineLevel="0" collapsed="false">
      <c r="A61" s="85" t="n">
        <v>45931</v>
      </c>
      <c r="B61" s="86" t="n">
        <v>2025</v>
      </c>
      <c r="C61" s="86" t="n">
        <v>10</v>
      </c>
      <c r="D61" s="86" t="s">
        <v>123</v>
      </c>
      <c r="E61" s="86" t="s">
        <v>64</v>
      </c>
      <c r="F61" s="86" t="s">
        <v>235</v>
      </c>
      <c r="G61" s="86" t="n">
        <v>22.8</v>
      </c>
      <c r="H61" s="87" t="n">
        <v>3307</v>
      </c>
      <c r="I61" s="87" t="n">
        <v>2264</v>
      </c>
      <c r="J61" s="87" t="n">
        <v>2085</v>
      </c>
      <c r="K61" s="88" t="n">
        <v>689040</v>
      </c>
      <c r="L61" s="88" t="n">
        <v>690400</v>
      </c>
      <c r="M61" s="88" t="n">
        <v>331300</v>
      </c>
      <c r="N61" s="88" t="n">
        <v>167840</v>
      </c>
      <c r="O61" s="88" t="n">
        <v>434500</v>
      </c>
      <c r="P61" s="40" t="n">
        <f aca="false">INDEX(Pricing_Analysis!$B$6:$B$11,MATCH(E61,Pricing_Analysis!$A$6:$A$11,0))</f>
        <v>355</v>
      </c>
      <c r="Q61" s="39" t="n">
        <f aca="false">I61*P61</f>
        <v>803720</v>
      </c>
      <c r="R61" s="39" t="n">
        <f aca="false">(I61-J61)*P61</f>
        <v>63545</v>
      </c>
      <c r="S61" s="39" t="n">
        <f aca="false">K61-M61-N61</f>
        <v>189900</v>
      </c>
    </row>
    <row r="62" customFormat="false" ht="15" hidden="false" customHeight="false" outlineLevel="0" collapsed="false">
      <c r="A62" s="89" t="n">
        <v>45931</v>
      </c>
      <c r="B62" s="90" t="n">
        <v>2025</v>
      </c>
      <c r="C62" s="90" t="n">
        <v>10</v>
      </c>
      <c r="D62" s="90" t="s">
        <v>123</v>
      </c>
      <c r="E62" s="90" t="s">
        <v>65</v>
      </c>
      <c r="F62" s="90" t="s">
        <v>235</v>
      </c>
      <c r="G62" s="90" t="n">
        <v>14.8</v>
      </c>
      <c r="H62" s="91" t="n">
        <v>2147</v>
      </c>
      <c r="I62" s="91" t="n">
        <v>1489</v>
      </c>
      <c r="J62" s="91" t="n">
        <v>1297</v>
      </c>
      <c r="K62" s="92" t="n">
        <v>387260</v>
      </c>
      <c r="L62" s="92" t="n">
        <v>393400</v>
      </c>
      <c r="M62" s="92" t="n">
        <v>229530</v>
      </c>
      <c r="N62" s="92" t="n">
        <v>96410</v>
      </c>
      <c r="O62" s="92" t="n">
        <v>244600</v>
      </c>
      <c r="P62" s="93" t="n">
        <f aca="false">INDEX(Pricing_Analysis!$B$6:$B$11,MATCH(E62,Pricing_Analysis!$A$6:$A$11,0))</f>
        <v>330</v>
      </c>
      <c r="Q62" s="94" t="n">
        <f aca="false">I62*P62</f>
        <v>491370</v>
      </c>
      <c r="R62" s="94" t="n">
        <f aca="false">(I62-J62)*P62</f>
        <v>63360</v>
      </c>
      <c r="S62" s="94" t="n">
        <f aca="false">K62-M62-N62</f>
        <v>61320</v>
      </c>
    </row>
    <row r="63" customFormat="false" ht="15" hidden="false" customHeight="false" outlineLevel="0" collapsed="false">
      <c r="A63" s="85" t="n">
        <v>45962</v>
      </c>
      <c r="B63" s="86" t="n">
        <v>2025</v>
      </c>
      <c r="C63" s="86" t="n">
        <v>11</v>
      </c>
      <c r="D63" s="86" t="s">
        <v>124</v>
      </c>
      <c r="E63" s="86" t="s">
        <v>60</v>
      </c>
      <c r="F63" s="86" t="s">
        <v>235</v>
      </c>
      <c r="G63" s="86" t="n">
        <v>38.5</v>
      </c>
      <c r="H63" s="87" t="n">
        <v>5698</v>
      </c>
      <c r="I63" s="87" t="n">
        <v>4568</v>
      </c>
      <c r="J63" s="87" t="n">
        <v>4279</v>
      </c>
      <c r="K63" s="88" t="n">
        <v>1594850</v>
      </c>
      <c r="L63" s="88" t="n">
        <v>1675100</v>
      </c>
      <c r="M63" s="88" t="n">
        <v>589480</v>
      </c>
      <c r="N63" s="88" t="n">
        <v>388810</v>
      </c>
      <c r="O63" s="88" t="n">
        <v>1049300</v>
      </c>
      <c r="P63" s="40" t="n">
        <f aca="false">INDEX(Pricing_Analysis!$B$6:$B$11,MATCH(E63,Pricing_Analysis!$A$6:$A$11,0))</f>
        <v>390</v>
      </c>
      <c r="Q63" s="39" t="n">
        <f aca="false">I63*P63</f>
        <v>1781520</v>
      </c>
      <c r="R63" s="39" t="n">
        <f aca="false">(I63-J63)*P63</f>
        <v>112710</v>
      </c>
      <c r="S63" s="39" t="n">
        <f aca="false">K63-M63-N63</f>
        <v>616560</v>
      </c>
    </row>
    <row r="64" customFormat="false" ht="15" hidden="false" customHeight="false" outlineLevel="0" collapsed="false">
      <c r="A64" s="89" t="n">
        <v>45962</v>
      </c>
      <c r="B64" s="90" t="n">
        <v>2025</v>
      </c>
      <c r="C64" s="90" t="n">
        <v>11</v>
      </c>
      <c r="D64" s="90" t="s">
        <v>124</v>
      </c>
      <c r="E64" s="90" t="s">
        <v>61</v>
      </c>
      <c r="F64" s="90" t="s">
        <v>235</v>
      </c>
      <c r="G64" s="90" t="n">
        <v>30.9</v>
      </c>
      <c r="H64" s="91" t="n">
        <v>4573</v>
      </c>
      <c r="I64" s="91" t="n">
        <v>3512</v>
      </c>
      <c r="J64" s="91" t="n">
        <v>3258</v>
      </c>
      <c r="K64" s="92" t="n">
        <v>1114740</v>
      </c>
      <c r="L64" s="92" t="n">
        <v>1154400</v>
      </c>
      <c r="M64" s="92" t="n">
        <v>452410</v>
      </c>
      <c r="N64" s="92" t="n">
        <v>234660</v>
      </c>
      <c r="O64" s="92" t="n">
        <v>573100</v>
      </c>
      <c r="P64" s="93" t="n">
        <f aca="false">INDEX(Pricing_Analysis!$B$6:$B$11,MATCH(E64,Pricing_Analysis!$A$6:$A$11,0))</f>
        <v>370</v>
      </c>
      <c r="Q64" s="94" t="n">
        <f aca="false">I64*P64</f>
        <v>1299440</v>
      </c>
      <c r="R64" s="94" t="n">
        <f aca="false">(I64-J64)*P64</f>
        <v>93980</v>
      </c>
      <c r="S64" s="94" t="n">
        <f aca="false">K64-M64-N64</f>
        <v>427670</v>
      </c>
    </row>
    <row r="65" customFormat="false" ht="15" hidden="false" customHeight="false" outlineLevel="0" collapsed="false">
      <c r="A65" s="85" t="n">
        <v>45962</v>
      </c>
      <c r="B65" s="86" t="n">
        <v>2025</v>
      </c>
      <c r="C65" s="86" t="n">
        <v>11</v>
      </c>
      <c r="D65" s="86" t="s">
        <v>124</v>
      </c>
      <c r="E65" s="86" t="s">
        <v>62</v>
      </c>
      <c r="F65" s="86" t="s">
        <v>235</v>
      </c>
      <c r="G65" s="86" t="n">
        <v>26.3</v>
      </c>
      <c r="H65" s="87" t="n">
        <v>3892</v>
      </c>
      <c r="I65" s="87" t="n">
        <v>2785</v>
      </c>
      <c r="J65" s="87" t="n">
        <v>2511</v>
      </c>
      <c r="K65" s="88" t="n">
        <v>791290</v>
      </c>
      <c r="L65" s="88" t="n">
        <v>757400</v>
      </c>
      <c r="M65" s="88" t="n">
        <v>431040</v>
      </c>
      <c r="N65" s="88" t="n">
        <v>181970</v>
      </c>
      <c r="O65" s="88" t="n">
        <v>370500</v>
      </c>
      <c r="P65" s="40" t="n">
        <f aca="false">INDEX(Pricing_Analysis!$B$6:$B$11,MATCH(E65,Pricing_Analysis!$A$6:$A$11,0))</f>
        <v>340</v>
      </c>
      <c r="Q65" s="39" t="n">
        <f aca="false">I65*P65</f>
        <v>946900</v>
      </c>
      <c r="R65" s="39" t="n">
        <f aca="false">(I65-J65)*P65</f>
        <v>93160</v>
      </c>
      <c r="S65" s="39" t="n">
        <f aca="false">K65-M65-N65</f>
        <v>178280</v>
      </c>
    </row>
    <row r="66" customFormat="false" ht="15" hidden="false" customHeight="false" outlineLevel="0" collapsed="false">
      <c r="A66" s="89" t="n">
        <v>45962</v>
      </c>
      <c r="B66" s="90" t="n">
        <v>2025</v>
      </c>
      <c r="C66" s="90" t="n">
        <v>11</v>
      </c>
      <c r="D66" s="90" t="s">
        <v>124</v>
      </c>
      <c r="E66" s="90" t="s">
        <v>63</v>
      </c>
      <c r="F66" s="90" t="s">
        <v>235</v>
      </c>
      <c r="G66" s="90" t="n">
        <v>42.9</v>
      </c>
      <c r="H66" s="91" t="n">
        <v>6349</v>
      </c>
      <c r="I66" s="91" t="n">
        <v>5063</v>
      </c>
      <c r="J66" s="91" t="n">
        <v>4592</v>
      </c>
      <c r="K66" s="92" t="n">
        <v>1645820</v>
      </c>
      <c r="L66" s="92" t="n">
        <v>1777500</v>
      </c>
      <c r="M66" s="92" t="n">
        <v>677160</v>
      </c>
      <c r="N66" s="92" t="n">
        <v>381950</v>
      </c>
      <c r="O66" s="92" t="n">
        <v>1014800</v>
      </c>
      <c r="P66" s="93" t="n">
        <f aca="false">INDEX(Pricing_Analysis!$B$6:$B$11,MATCH(E66,Pricing_Analysis!$A$6:$A$11,0))</f>
        <v>410</v>
      </c>
      <c r="Q66" s="94" t="n">
        <f aca="false">I66*P66</f>
        <v>2075830</v>
      </c>
      <c r="R66" s="94" t="n">
        <f aca="false">(I66-J66)*P66</f>
        <v>193110</v>
      </c>
      <c r="S66" s="94" t="n">
        <f aca="false">K66-M66-N66</f>
        <v>586710</v>
      </c>
    </row>
    <row r="67" customFormat="false" ht="15" hidden="false" customHeight="false" outlineLevel="0" collapsed="false">
      <c r="A67" s="85" t="n">
        <v>45962</v>
      </c>
      <c r="B67" s="86" t="n">
        <v>2025</v>
      </c>
      <c r="C67" s="86" t="n">
        <v>11</v>
      </c>
      <c r="D67" s="86" t="s">
        <v>124</v>
      </c>
      <c r="E67" s="86" t="s">
        <v>64</v>
      </c>
      <c r="F67" s="86" t="s">
        <v>235</v>
      </c>
      <c r="G67" s="86" t="n">
        <v>23.2</v>
      </c>
      <c r="H67" s="87" t="n">
        <v>3434</v>
      </c>
      <c r="I67" s="87" t="n">
        <v>2302</v>
      </c>
      <c r="J67" s="87" t="n">
        <v>2166</v>
      </c>
      <c r="K67" s="88" t="n">
        <v>740950</v>
      </c>
      <c r="L67" s="88" t="n">
        <v>712100</v>
      </c>
      <c r="M67" s="88" t="n">
        <v>355030</v>
      </c>
      <c r="N67" s="88" t="n">
        <v>143020</v>
      </c>
      <c r="O67" s="88" t="n">
        <v>310000</v>
      </c>
      <c r="P67" s="40" t="n">
        <f aca="false">INDEX(Pricing_Analysis!$B$6:$B$11,MATCH(E67,Pricing_Analysis!$A$6:$A$11,0))</f>
        <v>355</v>
      </c>
      <c r="Q67" s="39" t="n">
        <f aca="false">I67*P67</f>
        <v>817210</v>
      </c>
      <c r="R67" s="39" t="n">
        <f aca="false">(I67-J67)*P67</f>
        <v>48280</v>
      </c>
      <c r="S67" s="39" t="n">
        <f aca="false">K67-M67-N67</f>
        <v>242900</v>
      </c>
    </row>
    <row r="68" customFormat="false" ht="15" hidden="false" customHeight="false" outlineLevel="0" collapsed="false">
      <c r="A68" s="89" t="n">
        <v>45962</v>
      </c>
      <c r="B68" s="90" t="n">
        <v>2025</v>
      </c>
      <c r="C68" s="90" t="n">
        <v>11</v>
      </c>
      <c r="D68" s="90" t="s">
        <v>124</v>
      </c>
      <c r="E68" s="90" t="s">
        <v>65</v>
      </c>
      <c r="F68" s="90" t="s">
        <v>235</v>
      </c>
      <c r="G68" s="90" t="n">
        <v>14.6</v>
      </c>
      <c r="H68" s="91" t="n">
        <v>2161</v>
      </c>
      <c r="I68" s="91" t="n">
        <v>1415</v>
      </c>
      <c r="J68" s="91" t="n">
        <v>1210</v>
      </c>
      <c r="K68" s="92" t="n">
        <v>372210</v>
      </c>
      <c r="L68" s="92" t="n">
        <v>375200</v>
      </c>
      <c r="M68" s="92" t="n">
        <v>226530</v>
      </c>
      <c r="N68" s="92" t="n">
        <v>92320</v>
      </c>
      <c r="O68" s="92" t="n">
        <v>204300</v>
      </c>
      <c r="P68" s="93" t="n">
        <f aca="false">INDEX(Pricing_Analysis!$B$6:$B$11,MATCH(E68,Pricing_Analysis!$A$6:$A$11,0))</f>
        <v>330</v>
      </c>
      <c r="Q68" s="94" t="n">
        <f aca="false">I68*P68</f>
        <v>466950</v>
      </c>
      <c r="R68" s="94" t="n">
        <f aca="false">(I68-J68)*P68</f>
        <v>67650</v>
      </c>
      <c r="S68" s="94" t="n">
        <f aca="false">K68-M68-N68</f>
        <v>53360</v>
      </c>
    </row>
    <row r="69" customFormat="false" ht="15" hidden="false" customHeight="false" outlineLevel="0" collapsed="false">
      <c r="A69" s="85" t="n">
        <v>45992</v>
      </c>
      <c r="B69" s="86" t="n">
        <v>2025</v>
      </c>
      <c r="C69" s="86" t="n">
        <v>12</v>
      </c>
      <c r="D69" s="86" t="s">
        <v>125</v>
      </c>
      <c r="E69" s="86" t="s">
        <v>60</v>
      </c>
      <c r="F69" s="86" t="s">
        <v>235</v>
      </c>
      <c r="G69" s="86" t="n">
        <v>39.4</v>
      </c>
      <c r="H69" s="87" t="n">
        <v>5131</v>
      </c>
      <c r="I69" s="87" t="n">
        <v>3641</v>
      </c>
      <c r="J69" s="87" t="n">
        <v>3422</v>
      </c>
      <c r="K69" s="88" t="n">
        <v>1222610</v>
      </c>
      <c r="L69" s="88" t="n">
        <v>1241700</v>
      </c>
      <c r="M69" s="88" t="n">
        <v>631130</v>
      </c>
      <c r="N69" s="88" t="n">
        <v>235610</v>
      </c>
      <c r="O69" s="88" t="n">
        <v>825900</v>
      </c>
      <c r="P69" s="40" t="n">
        <f aca="false">INDEX(Pricing_Analysis!$B$6:$B$11,MATCH(E69,Pricing_Analysis!$A$6:$A$11,0))</f>
        <v>390</v>
      </c>
      <c r="Q69" s="39" t="n">
        <f aca="false">I69*P69</f>
        <v>1419990</v>
      </c>
      <c r="R69" s="39" t="n">
        <f aca="false">(I69-J69)*P69</f>
        <v>85410</v>
      </c>
      <c r="S69" s="39" t="n">
        <f aca="false">K69-M69-N69</f>
        <v>355870</v>
      </c>
    </row>
    <row r="70" customFormat="false" ht="15" hidden="false" customHeight="false" outlineLevel="0" collapsed="false">
      <c r="A70" s="89" t="n">
        <v>45992</v>
      </c>
      <c r="B70" s="90" t="n">
        <v>2025</v>
      </c>
      <c r="C70" s="90" t="n">
        <v>12</v>
      </c>
      <c r="D70" s="90" t="s">
        <v>125</v>
      </c>
      <c r="E70" s="90" t="s">
        <v>61</v>
      </c>
      <c r="F70" s="90" t="s">
        <v>235</v>
      </c>
      <c r="G70" s="90" t="n">
        <v>30.6</v>
      </c>
      <c r="H70" s="91" t="n">
        <v>3985</v>
      </c>
      <c r="I70" s="91" t="n">
        <v>2702</v>
      </c>
      <c r="J70" s="91" t="n">
        <v>2432</v>
      </c>
      <c r="K70" s="92" t="n">
        <v>836630</v>
      </c>
      <c r="L70" s="92" t="n">
        <v>851500</v>
      </c>
      <c r="M70" s="92" t="n">
        <v>447280</v>
      </c>
      <c r="N70" s="92" t="n">
        <v>206410</v>
      </c>
      <c r="O70" s="92" t="n">
        <v>416000</v>
      </c>
      <c r="P70" s="93" t="n">
        <f aca="false">INDEX(Pricing_Analysis!$B$6:$B$11,MATCH(E70,Pricing_Analysis!$A$6:$A$11,0))</f>
        <v>370</v>
      </c>
      <c r="Q70" s="94" t="n">
        <f aca="false">I70*P70</f>
        <v>999740</v>
      </c>
      <c r="R70" s="94" t="n">
        <f aca="false">(I70-J70)*P70</f>
        <v>99900</v>
      </c>
      <c r="S70" s="94" t="n">
        <f aca="false">K70-M70-N70</f>
        <v>182940</v>
      </c>
    </row>
    <row r="71" customFormat="false" ht="15" hidden="false" customHeight="false" outlineLevel="0" collapsed="false">
      <c r="A71" s="85" t="n">
        <v>45992</v>
      </c>
      <c r="B71" s="86" t="n">
        <v>2025</v>
      </c>
      <c r="C71" s="86" t="n">
        <v>12</v>
      </c>
      <c r="D71" s="86" t="s">
        <v>125</v>
      </c>
      <c r="E71" s="86" t="s">
        <v>62</v>
      </c>
      <c r="F71" s="86" t="s">
        <v>235</v>
      </c>
      <c r="G71" s="86" t="n">
        <v>26.9</v>
      </c>
      <c r="H71" s="87" t="n">
        <v>3503</v>
      </c>
      <c r="I71" s="87" t="n">
        <v>2335</v>
      </c>
      <c r="J71" s="87" t="n">
        <v>2077</v>
      </c>
      <c r="K71" s="88" t="n">
        <v>641330</v>
      </c>
      <c r="L71" s="88" t="n">
        <v>657200</v>
      </c>
      <c r="M71" s="88" t="n">
        <v>420210</v>
      </c>
      <c r="N71" s="88" t="n">
        <v>132760</v>
      </c>
      <c r="O71" s="88" t="n">
        <v>385300</v>
      </c>
      <c r="P71" s="40" t="n">
        <f aca="false">INDEX(Pricing_Analysis!$B$6:$B$11,MATCH(E71,Pricing_Analysis!$A$6:$A$11,0))</f>
        <v>340</v>
      </c>
      <c r="Q71" s="39" t="n">
        <f aca="false">I71*P71</f>
        <v>793900</v>
      </c>
      <c r="R71" s="39" t="n">
        <f aca="false">(I71-J71)*P71</f>
        <v>87720</v>
      </c>
      <c r="S71" s="39" t="n">
        <f aca="false">K71-M71-N71</f>
        <v>88360</v>
      </c>
    </row>
    <row r="72" customFormat="false" ht="15" hidden="false" customHeight="false" outlineLevel="0" collapsed="false">
      <c r="A72" s="89" t="n">
        <v>45992</v>
      </c>
      <c r="B72" s="90" t="n">
        <v>2025</v>
      </c>
      <c r="C72" s="90" t="n">
        <v>12</v>
      </c>
      <c r="D72" s="90" t="s">
        <v>125</v>
      </c>
      <c r="E72" s="90" t="s">
        <v>63</v>
      </c>
      <c r="F72" s="90" t="s">
        <v>235</v>
      </c>
      <c r="G72" s="90" t="n">
        <v>42.7</v>
      </c>
      <c r="H72" s="91" t="n">
        <v>5561</v>
      </c>
      <c r="I72" s="91" t="n">
        <v>3809</v>
      </c>
      <c r="J72" s="91" t="n">
        <v>3405</v>
      </c>
      <c r="K72" s="92" t="n">
        <v>1194820</v>
      </c>
      <c r="L72" s="92" t="n">
        <v>1129200</v>
      </c>
      <c r="M72" s="92" t="n">
        <v>683600</v>
      </c>
      <c r="N72" s="92" t="n">
        <v>254970</v>
      </c>
      <c r="O72" s="92" t="n">
        <v>793500</v>
      </c>
      <c r="P72" s="93" t="n">
        <f aca="false">INDEX(Pricing_Analysis!$B$6:$B$11,MATCH(E72,Pricing_Analysis!$A$6:$A$11,0))</f>
        <v>410</v>
      </c>
      <c r="Q72" s="94" t="n">
        <f aca="false">I72*P72</f>
        <v>1561690</v>
      </c>
      <c r="R72" s="94" t="n">
        <f aca="false">(I72-J72)*P72</f>
        <v>165640</v>
      </c>
      <c r="S72" s="94" t="n">
        <f aca="false">K72-M72-N72</f>
        <v>256250</v>
      </c>
    </row>
    <row r="73" customFormat="false" ht="15" hidden="false" customHeight="false" outlineLevel="0" collapsed="false">
      <c r="A73" s="85" t="n">
        <v>45992</v>
      </c>
      <c r="B73" s="86" t="n">
        <v>2025</v>
      </c>
      <c r="C73" s="86" t="n">
        <v>12</v>
      </c>
      <c r="D73" s="86" t="s">
        <v>125</v>
      </c>
      <c r="E73" s="86" t="s">
        <v>64</v>
      </c>
      <c r="F73" s="86" t="s">
        <v>235</v>
      </c>
      <c r="G73" s="86" t="n">
        <v>23.1</v>
      </c>
      <c r="H73" s="87" t="n">
        <v>3009</v>
      </c>
      <c r="I73" s="87" t="n">
        <v>1839</v>
      </c>
      <c r="J73" s="87" t="n">
        <v>1762</v>
      </c>
      <c r="K73" s="88" t="n">
        <v>610080</v>
      </c>
      <c r="L73" s="88" t="n">
        <v>568400</v>
      </c>
      <c r="M73" s="88" t="n">
        <v>376790</v>
      </c>
      <c r="N73" s="88" t="n">
        <v>131640</v>
      </c>
      <c r="O73" s="88" t="n">
        <v>315500</v>
      </c>
      <c r="P73" s="40" t="n">
        <f aca="false">INDEX(Pricing_Analysis!$B$6:$B$11,MATCH(E73,Pricing_Analysis!$A$6:$A$11,0))</f>
        <v>355</v>
      </c>
      <c r="Q73" s="39" t="n">
        <f aca="false">I73*P73</f>
        <v>652845</v>
      </c>
      <c r="R73" s="39" t="n">
        <f aca="false">(I73-J73)*P73</f>
        <v>27335</v>
      </c>
      <c r="S73" s="39" t="n">
        <f aca="false">K73-M73-N73</f>
        <v>101650</v>
      </c>
    </row>
    <row r="74" customFormat="false" ht="15" hidden="false" customHeight="false" outlineLevel="0" collapsed="false">
      <c r="A74" s="89" t="n">
        <v>45992</v>
      </c>
      <c r="B74" s="90" t="n">
        <v>2025</v>
      </c>
      <c r="C74" s="90" t="n">
        <v>12</v>
      </c>
      <c r="D74" s="90" t="s">
        <v>125</v>
      </c>
      <c r="E74" s="90" t="s">
        <v>65</v>
      </c>
      <c r="F74" s="90" t="s">
        <v>235</v>
      </c>
      <c r="G74" s="90" t="n">
        <v>15.4</v>
      </c>
      <c r="H74" s="91" t="n">
        <v>2006</v>
      </c>
      <c r="I74" s="91" t="n">
        <v>1212</v>
      </c>
      <c r="J74" s="91" t="n">
        <v>1050</v>
      </c>
      <c r="K74" s="92" t="n">
        <v>323590</v>
      </c>
      <c r="L74" s="92" t="n">
        <v>335100</v>
      </c>
      <c r="M74" s="92" t="n">
        <v>237730</v>
      </c>
      <c r="N74" s="92" t="n">
        <v>80490</v>
      </c>
      <c r="O74" s="92" t="n">
        <v>205800</v>
      </c>
      <c r="P74" s="93" t="n">
        <f aca="false">INDEX(Pricing_Analysis!$B$6:$B$11,MATCH(E74,Pricing_Analysis!$A$6:$A$11,0))</f>
        <v>330</v>
      </c>
      <c r="Q74" s="94" t="n">
        <f aca="false">I74*P74</f>
        <v>399960</v>
      </c>
      <c r="R74" s="94" t="n">
        <f aca="false">(I74-J74)*P74</f>
        <v>53460</v>
      </c>
      <c r="S74" s="94" t="n">
        <f aca="false">K74-M74-N74</f>
        <v>5370</v>
      </c>
    </row>
    <row r="75" customFormat="false" ht="15" hidden="false" customHeight="false" outlineLevel="0" collapsed="false">
      <c r="A75" s="85" t="n">
        <v>46023</v>
      </c>
      <c r="B75" s="86" t="n">
        <v>2026</v>
      </c>
      <c r="C75" s="86" t="n">
        <v>1</v>
      </c>
      <c r="D75" s="86" t="s">
        <v>114</v>
      </c>
      <c r="E75" s="86" t="s">
        <v>60</v>
      </c>
      <c r="F75" s="86" t="s">
        <v>235</v>
      </c>
      <c r="G75" s="86" t="n">
        <v>39.6</v>
      </c>
      <c r="H75" s="87" t="n">
        <v>5626</v>
      </c>
      <c r="I75" s="87" t="n">
        <v>3408</v>
      </c>
      <c r="J75" s="87" t="n">
        <v>3173</v>
      </c>
      <c r="K75" s="88" t="n">
        <v>1172470</v>
      </c>
      <c r="L75" s="88" t="n">
        <v>1116900</v>
      </c>
      <c r="M75" s="88" t="n">
        <v>595670</v>
      </c>
      <c r="N75" s="88" t="n">
        <v>259920</v>
      </c>
      <c r="O75" s="88" t="n">
        <v>461400</v>
      </c>
      <c r="P75" s="40" t="n">
        <f aca="false">INDEX(Pricing_Analysis!$B$6:$B$11,MATCH(E75,Pricing_Analysis!$A$6:$A$11,0))</f>
        <v>390</v>
      </c>
      <c r="Q75" s="39" t="n">
        <f aca="false">I75*P75</f>
        <v>1329120</v>
      </c>
      <c r="R75" s="39" t="n">
        <f aca="false">(I75-J75)*P75</f>
        <v>91650</v>
      </c>
      <c r="S75" s="39" t="n">
        <f aca="false">K75-M75-N75</f>
        <v>316880</v>
      </c>
    </row>
    <row r="76" customFormat="false" ht="15" hidden="false" customHeight="false" outlineLevel="0" collapsed="false">
      <c r="A76" s="89" t="n">
        <v>46023</v>
      </c>
      <c r="B76" s="90" t="n">
        <v>2026</v>
      </c>
      <c r="C76" s="90" t="n">
        <v>1</v>
      </c>
      <c r="D76" s="90" t="s">
        <v>114</v>
      </c>
      <c r="E76" s="90" t="s">
        <v>61</v>
      </c>
      <c r="F76" s="90" t="s">
        <v>235</v>
      </c>
      <c r="G76" s="90" t="n">
        <v>31</v>
      </c>
      <c r="H76" s="91" t="n">
        <v>4404</v>
      </c>
      <c r="I76" s="91" t="n">
        <v>2740</v>
      </c>
      <c r="J76" s="91" t="n">
        <v>2503</v>
      </c>
      <c r="K76" s="92" t="n">
        <v>858120</v>
      </c>
      <c r="L76" s="92" t="n">
        <v>869400</v>
      </c>
      <c r="M76" s="92" t="n">
        <v>489780</v>
      </c>
      <c r="N76" s="92" t="n">
        <v>203100</v>
      </c>
      <c r="O76" s="92" t="n">
        <v>459800</v>
      </c>
      <c r="P76" s="93" t="n">
        <f aca="false">INDEX(Pricing_Analysis!$B$6:$B$11,MATCH(E76,Pricing_Analysis!$A$6:$A$11,0))</f>
        <v>370</v>
      </c>
      <c r="Q76" s="94" t="n">
        <f aca="false">I76*P76</f>
        <v>1013800</v>
      </c>
      <c r="R76" s="94" t="n">
        <f aca="false">(I76-J76)*P76</f>
        <v>87690</v>
      </c>
      <c r="S76" s="94" t="n">
        <f aca="false">K76-M76-N76</f>
        <v>165240</v>
      </c>
    </row>
    <row r="77" customFormat="false" ht="15" hidden="false" customHeight="false" outlineLevel="0" collapsed="false">
      <c r="A77" s="85" t="n">
        <v>46023</v>
      </c>
      <c r="B77" s="86" t="n">
        <v>2026</v>
      </c>
      <c r="C77" s="86" t="n">
        <v>1</v>
      </c>
      <c r="D77" s="86" t="s">
        <v>114</v>
      </c>
      <c r="E77" s="86" t="s">
        <v>62</v>
      </c>
      <c r="F77" s="86" t="s">
        <v>235</v>
      </c>
      <c r="G77" s="86" t="n">
        <v>27.3</v>
      </c>
      <c r="H77" s="87" t="n">
        <v>3879</v>
      </c>
      <c r="I77" s="87" t="n">
        <v>2408</v>
      </c>
      <c r="J77" s="87" t="n">
        <v>2182</v>
      </c>
      <c r="K77" s="88" t="n">
        <v>679120</v>
      </c>
      <c r="L77" s="88" t="n">
        <v>637200</v>
      </c>
      <c r="M77" s="88" t="n">
        <v>457930</v>
      </c>
      <c r="N77" s="88" t="n">
        <v>160990</v>
      </c>
      <c r="O77" s="88" t="n">
        <v>386200</v>
      </c>
      <c r="P77" s="40" t="n">
        <f aca="false">INDEX(Pricing_Analysis!$B$6:$B$11,MATCH(E77,Pricing_Analysis!$A$6:$A$11,0))</f>
        <v>340</v>
      </c>
      <c r="Q77" s="39" t="n">
        <f aca="false">I77*P77</f>
        <v>818720</v>
      </c>
      <c r="R77" s="39" t="n">
        <f aca="false">(I77-J77)*P77</f>
        <v>76840</v>
      </c>
      <c r="S77" s="39" t="n">
        <f aca="false">K77-M77-N77</f>
        <v>60200</v>
      </c>
    </row>
    <row r="78" customFormat="false" ht="15" hidden="false" customHeight="false" outlineLevel="0" collapsed="false">
      <c r="A78" s="89" t="n">
        <v>46023</v>
      </c>
      <c r="B78" s="90" t="n">
        <v>2026</v>
      </c>
      <c r="C78" s="90" t="n">
        <v>1</v>
      </c>
      <c r="D78" s="90" t="s">
        <v>114</v>
      </c>
      <c r="E78" s="90" t="s">
        <v>63</v>
      </c>
      <c r="F78" s="90" t="s">
        <v>235</v>
      </c>
      <c r="G78" s="90" t="n">
        <v>43.6</v>
      </c>
      <c r="H78" s="91" t="n">
        <v>6195</v>
      </c>
      <c r="I78" s="91" t="n">
        <v>3923</v>
      </c>
      <c r="J78" s="91" t="n">
        <v>3585</v>
      </c>
      <c r="K78" s="92" t="n">
        <v>1313260</v>
      </c>
      <c r="L78" s="92" t="n">
        <v>1332500</v>
      </c>
      <c r="M78" s="92" t="n">
        <v>708030</v>
      </c>
      <c r="N78" s="92" t="n">
        <v>308880</v>
      </c>
      <c r="O78" s="92" t="n">
        <v>546900</v>
      </c>
      <c r="P78" s="93" t="n">
        <f aca="false">INDEX(Pricing_Analysis!$B$6:$B$11,MATCH(E78,Pricing_Analysis!$A$6:$A$11,0))</f>
        <v>410</v>
      </c>
      <c r="Q78" s="94" t="n">
        <f aca="false">I78*P78</f>
        <v>1608430</v>
      </c>
      <c r="R78" s="94" t="n">
        <f aca="false">(I78-J78)*P78</f>
        <v>138580</v>
      </c>
      <c r="S78" s="94" t="n">
        <f aca="false">K78-M78-N78</f>
        <v>296350</v>
      </c>
    </row>
    <row r="79" customFormat="false" ht="15" hidden="false" customHeight="false" outlineLevel="0" collapsed="false">
      <c r="A79" s="85" t="n">
        <v>46023</v>
      </c>
      <c r="B79" s="86" t="n">
        <v>2026</v>
      </c>
      <c r="C79" s="86" t="n">
        <v>1</v>
      </c>
      <c r="D79" s="86" t="s">
        <v>114</v>
      </c>
      <c r="E79" s="86" t="s">
        <v>64</v>
      </c>
      <c r="F79" s="86" t="s">
        <v>235</v>
      </c>
      <c r="G79" s="86" t="n">
        <v>22.3</v>
      </c>
      <c r="H79" s="87" t="n">
        <v>3168</v>
      </c>
      <c r="I79" s="87" t="n">
        <v>1912</v>
      </c>
      <c r="J79" s="87" t="n">
        <v>1826</v>
      </c>
      <c r="K79" s="88" t="n">
        <v>636440</v>
      </c>
      <c r="L79" s="88" t="n">
        <v>589500</v>
      </c>
      <c r="M79" s="88" t="n">
        <v>335840</v>
      </c>
      <c r="N79" s="88" t="n">
        <v>131270</v>
      </c>
      <c r="O79" s="88" t="n">
        <v>317500</v>
      </c>
      <c r="P79" s="40" t="n">
        <f aca="false">INDEX(Pricing_Analysis!$B$6:$B$11,MATCH(E79,Pricing_Analysis!$A$6:$A$11,0))</f>
        <v>355</v>
      </c>
      <c r="Q79" s="39" t="n">
        <f aca="false">I79*P79</f>
        <v>678760</v>
      </c>
      <c r="R79" s="39" t="n">
        <f aca="false">(I79-J79)*P79</f>
        <v>30530</v>
      </c>
      <c r="S79" s="39" t="n">
        <f aca="false">K79-M79-N79</f>
        <v>169330</v>
      </c>
    </row>
    <row r="80" customFormat="false" ht="15" hidden="false" customHeight="false" outlineLevel="0" collapsed="false">
      <c r="A80" s="89" t="n">
        <v>46023</v>
      </c>
      <c r="B80" s="90" t="n">
        <v>2026</v>
      </c>
      <c r="C80" s="90" t="n">
        <v>1</v>
      </c>
      <c r="D80" s="90" t="s">
        <v>114</v>
      </c>
      <c r="E80" s="90" t="s">
        <v>65</v>
      </c>
      <c r="F80" s="90" t="s">
        <v>235</v>
      </c>
      <c r="G80" s="90" t="n">
        <v>14.2</v>
      </c>
      <c r="H80" s="91" t="n">
        <v>2018</v>
      </c>
      <c r="I80" s="91" t="n">
        <v>1081</v>
      </c>
      <c r="J80" s="91" t="n">
        <v>938</v>
      </c>
      <c r="K80" s="92" t="n">
        <v>277470</v>
      </c>
      <c r="L80" s="92" t="n">
        <v>259100</v>
      </c>
      <c r="M80" s="92" t="n">
        <v>231860</v>
      </c>
      <c r="N80" s="92" t="n">
        <v>61890</v>
      </c>
      <c r="O80" s="92" t="n">
        <v>158400</v>
      </c>
      <c r="P80" s="93" t="n">
        <f aca="false">INDEX(Pricing_Analysis!$B$6:$B$11,MATCH(E80,Pricing_Analysis!$A$6:$A$11,0))</f>
        <v>330</v>
      </c>
      <c r="Q80" s="94" t="n">
        <f aca="false">I80*P80</f>
        <v>356730</v>
      </c>
      <c r="R80" s="94" t="n">
        <f aca="false">(I80-J80)*P80</f>
        <v>47190</v>
      </c>
      <c r="S80" s="94" t="n">
        <f aca="false">K80-M80-N80</f>
        <v>-16280</v>
      </c>
    </row>
    <row r="81" customFormat="false" ht="15" hidden="false" customHeight="false" outlineLevel="0" collapsed="false">
      <c r="A81" s="85" t="n">
        <v>46054</v>
      </c>
      <c r="B81" s="86" t="n">
        <v>2026</v>
      </c>
      <c r="C81" s="86" t="n">
        <v>2</v>
      </c>
      <c r="D81" s="86" t="s">
        <v>115</v>
      </c>
      <c r="E81" s="86" t="s">
        <v>60</v>
      </c>
      <c r="F81" s="86" t="s">
        <v>235</v>
      </c>
      <c r="G81" s="86" t="n">
        <v>39.6</v>
      </c>
      <c r="H81" s="87" t="n">
        <v>5626</v>
      </c>
      <c r="I81" s="87" t="n">
        <v>3733</v>
      </c>
      <c r="J81" s="87" t="n">
        <v>3404</v>
      </c>
      <c r="K81" s="88" t="n">
        <v>1249350</v>
      </c>
      <c r="L81" s="88" t="n">
        <v>1298300</v>
      </c>
      <c r="M81" s="88" t="n">
        <v>659830</v>
      </c>
      <c r="N81" s="88" t="n">
        <v>242950</v>
      </c>
      <c r="O81" s="88" t="n">
        <v>489700</v>
      </c>
      <c r="P81" s="40" t="n">
        <f aca="false">INDEX(Pricing_Analysis!$B$6:$B$11,MATCH(E81,Pricing_Analysis!$A$6:$A$11,0))</f>
        <v>390</v>
      </c>
      <c r="Q81" s="39" t="n">
        <f aca="false">I81*P81</f>
        <v>1455870</v>
      </c>
      <c r="R81" s="39" t="n">
        <f aca="false">(I81-J81)*P81</f>
        <v>128310</v>
      </c>
      <c r="S81" s="39" t="n">
        <f aca="false">K81-M81-N81</f>
        <v>346570</v>
      </c>
    </row>
    <row r="82" customFormat="false" ht="15" hidden="false" customHeight="false" outlineLevel="0" collapsed="false">
      <c r="A82" s="89" t="n">
        <v>46054</v>
      </c>
      <c r="B82" s="90" t="n">
        <v>2026</v>
      </c>
      <c r="C82" s="90" t="n">
        <v>2</v>
      </c>
      <c r="D82" s="90" t="s">
        <v>115</v>
      </c>
      <c r="E82" s="90" t="s">
        <v>61</v>
      </c>
      <c r="F82" s="90" t="s">
        <v>235</v>
      </c>
      <c r="G82" s="90" t="n">
        <v>31.5</v>
      </c>
      <c r="H82" s="91" t="n">
        <v>4476</v>
      </c>
      <c r="I82" s="91" t="n">
        <v>2927</v>
      </c>
      <c r="J82" s="91" t="n">
        <v>2716</v>
      </c>
      <c r="K82" s="92" t="n">
        <v>928370</v>
      </c>
      <c r="L82" s="92" t="n">
        <v>917100</v>
      </c>
      <c r="M82" s="92" t="n">
        <v>487200</v>
      </c>
      <c r="N82" s="92" t="n">
        <v>221500</v>
      </c>
      <c r="O82" s="92" t="n">
        <v>444800</v>
      </c>
      <c r="P82" s="93" t="n">
        <f aca="false">INDEX(Pricing_Analysis!$B$6:$B$11,MATCH(E82,Pricing_Analysis!$A$6:$A$11,0))</f>
        <v>370</v>
      </c>
      <c r="Q82" s="94" t="n">
        <f aca="false">I82*P82</f>
        <v>1082990</v>
      </c>
      <c r="R82" s="94" t="n">
        <f aca="false">(I82-J82)*P82</f>
        <v>78070</v>
      </c>
      <c r="S82" s="94" t="n">
        <f aca="false">K82-M82-N82</f>
        <v>219670</v>
      </c>
    </row>
    <row r="83" customFormat="false" ht="15" hidden="false" customHeight="false" outlineLevel="0" collapsed="false">
      <c r="A83" s="85" t="n">
        <v>46054</v>
      </c>
      <c r="B83" s="86" t="n">
        <v>2026</v>
      </c>
      <c r="C83" s="86" t="n">
        <v>2</v>
      </c>
      <c r="D83" s="86" t="s">
        <v>115</v>
      </c>
      <c r="E83" s="86" t="s">
        <v>62</v>
      </c>
      <c r="F83" s="86" t="s">
        <v>235</v>
      </c>
      <c r="G83" s="86" t="n">
        <v>27.1</v>
      </c>
      <c r="H83" s="87" t="n">
        <v>3850</v>
      </c>
      <c r="I83" s="87" t="n">
        <v>2532</v>
      </c>
      <c r="J83" s="87" t="n">
        <v>2248</v>
      </c>
      <c r="K83" s="88" t="n">
        <v>712890</v>
      </c>
      <c r="L83" s="88" t="n">
        <v>741000</v>
      </c>
      <c r="M83" s="88" t="n">
        <v>456140</v>
      </c>
      <c r="N83" s="88" t="n">
        <v>153740</v>
      </c>
      <c r="O83" s="88" t="n">
        <v>341600</v>
      </c>
      <c r="P83" s="40" t="n">
        <f aca="false">INDEX(Pricing_Analysis!$B$6:$B$11,MATCH(E83,Pricing_Analysis!$A$6:$A$11,0))</f>
        <v>340</v>
      </c>
      <c r="Q83" s="39" t="n">
        <f aca="false">I83*P83</f>
        <v>860880</v>
      </c>
      <c r="R83" s="39" t="n">
        <f aca="false">(I83-J83)*P83</f>
        <v>96560</v>
      </c>
      <c r="S83" s="39" t="n">
        <f aca="false">K83-M83-N83</f>
        <v>103010</v>
      </c>
    </row>
    <row r="84" customFormat="false" ht="15" hidden="false" customHeight="false" outlineLevel="0" collapsed="false">
      <c r="A84" s="89" t="n">
        <v>46054</v>
      </c>
      <c r="B84" s="90" t="n">
        <v>2026</v>
      </c>
      <c r="C84" s="90" t="n">
        <v>2</v>
      </c>
      <c r="D84" s="90" t="s">
        <v>115</v>
      </c>
      <c r="E84" s="90" t="s">
        <v>63</v>
      </c>
      <c r="F84" s="90" t="s">
        <v>235</v>
      </c>
      <c r="G84" s="90" t="n">
        <v>43.5</v>
      </c>
      <c r="H84" s="91" t="n">
        <v>6180</v>
      </c>
      <c r="I84" s="91" t="n">
        <v>4386</v>
      </c>
      <c r="J84" s="91" t="n">
        <v>3887</v>
      </c>
      <c r="K84" s="92" t="n">
        <v>1382880</v>
      </c>
      <c r="L84" s="92" t="n">
        <v>1397100</v>
      </c>
      <c r="M84" s="92" t="n">
        <v>693120</v>
      </c>
      <c r="N84" s="92" t="n">
        <v>319610</v>
      </c>
      <c r="O84" s="92" t="n">
        <v>628700</v>
      </c>
      <c r="P84" s="93" t="n">
        <f aca="false">INDEX(Pricing_Analysis!$B$6:$B$11,MATCH(E84,Pricing_Analysis!$A$6:$A$11,0))</f>
        <v>410</v>
      </c>
      <c r="Q84" s="94" t="n">
        <f aca="false">I84*P84</f>
        <v>1798260</v>
      </c>
      <c r="R84" s="94" t="n">
        <f aca="false">(I84-J84)*P84</f>
        <v>204590</v>
      </c>
      <c r="S84" s="94" t="n">
        <f aca="false">K84-M84-N84</f>
        <v>370150</v>
      </c>
    </row>
    <row r="85" customFormat="false" ht="15" hidden="false" customHeight="false" outlineLevel="0" collapsed="false">
      <c r="A85" s="85" t="n">
        <v>46054</v>
      </c>
      <c r="B85" s="86" t="n">
        <v>2026</v>
      </c>
      <c r="C85" s="86" t="n">
        <v>2</v>
      </c>
      <c r="D85" s="86" t="s">
        <v>115</v>
      </c>
      <c r="E85" s="86" t="s">
        <v>64</v>
      </c>
      <c r="F85" s="86" t="s">
        <v>235</v>
      </c>
      <c r="G85" s="86" t="n">
        <v>23</v>
      </c>
      <c r="H85" s="87" t="n">
        <v>3268</v>
      </c>
      <c r="I85" s="87" t="n">
        <v>1903</v>
      </c>
      <c r="J85" s="87" t="n">
        <v>1754</v>
      </c>
      <c r="K85" s="88" t="n">
        <v>603580</v>
      </c>
      <c r="L85" s="88" t="n">
        <v>563200</v>
      </c>
      <c r="M85" s="88" t="n">
        <v>357900</v>
      </c>
      <c r="N85" s="88" t="n">
        <v>140940</v>
      </c>
      <c r="O85" s="88" t="n">
        <v>357900</v>
      </c>
      <c r="P85" s="40" t="n">
        <f aca="false">INDEX(Pricing_Analysis!$B$6:$B$11,MATCH(E85,Pricing_Analysis!$A$6:$A$11,0))</f>
        <v>355</v>
      </c>
      <c r="Q85" s="39" t="n">
        <f aca="false">I85*P85</f>
        <v>675565</v>
      </c>
      <c r="R85" s="39" t="n">
        <f aca="false">(I85-J85)*P85</f>
        <v>52895</v>
      </c>
      <c r="S85" s="39" t="n">
        <f aca="false">K85-M85-N85</f>
        <v>104740</v>
      </c>
    </row>
    <row r="86" customFormat="false" ht="15" hidden="false" customHeight="false" outlineLevel="0" collapsed="false">
      <c r="A86" s="89" t="n">
        <v>46054</v>
      </c>
      <c r="B86" s="90" t="n">
        <v>2026</v>
      </c>
      <c r="C86" s="90" t="n">
        <v>2</v>
      </c>
      <c r="D86" s="90" t="s">
        <v>115</v>
      </c>
      <c r="E86" s="90" t="s">
        <v>65</v>
      </c>
      <c r="F86" s="90" t="s">
        <v>235</v>
      </c>
      <c r="G86" s="90" t="n">
        <v>14</v>
      </c>
      <c r="H86" s="91" t="n">
        <v>1989</v>
      </c>
      <c r="I86" s="91" t="n">
        <v>1130</v>
      </c>
      <c r="J86" s="91" t="n">
        <v>971</v>
      </c>
      <c r="K86" s="92" t="n">
        <v>298790</v>
      </c>
      <c r="L86" s="92" t="n">
        <v>292400</v>
      </c>
      <c r="M86" s="92" t="n">
        <v>212480</v>
      </c>
      <c r="N86" s="92" t="n">
        <v>69490</v>
      </c>
      <c r="O86" s="92" t="n">
        <v>164100</v>
      </c>
      <c r="P86" s="93" t="n">
        <f aca="false">INDEX(Pricing_Analysis!$B$6:$B$11,MATCH(E86,Pricing_Analysis!$A$6:$A$11,0))</f>
        <v>330</v>
      </c>
      <c r="Q86" s="94" t="n">
        <f aca="false">I86*P86</f>
        <v>372900</v>
      </c>
      <c r="R86" s="94" t="n">
        <f aca="false">(I86-J86)*P86</f>
        <v>52470</v>
      </c>
      <c r="S86" s="94" t="n">
        <f aca="false">K86-M86-N86</f>
        <v>16820</v>
      </c>
    </row>
    <row r="87" customFormat="false" ht="15" hidden="false" customHeight="false" outlineLevel="0" collapsed="false">
      <c r="A87" s="85" t="n">
        <v>46082</v>
      </c>
      <c r="B87" s="86" t="n">
        <v>2026</v>
      </c>
      <c r="C87" s="86" t="n">
        <v>3</v>
      </c>
      <c r="D87" s="86" t="s">
        <v>116</v>
      </c>
      <c r="E87" s="86" t="s">
        <v>60</v>
      </c>
      <c r="F87" s="86" t="s">
        <v>235</v>
      </c>
      <c r="G87" s="86" t="n">
        <v>40.2</v>
      </c>
      <c r="H87" s="87" t="n">
        <v>5950</v>
      </c>
      <c r="I87" s="87" t="n">
        <v>4566</v>
      </c>
      <c r="J87" s="87" t="n">
        <v>4313</v>
      </c>
      <c r="K87" s="88" t="n">
        <v>1592020</v>
      </c>
      <c r="L87" s="88" t="n">
        <v>1669200</v>
      </c>
      <c r="M87" s="88" t="n">
        <v>625630</v>
      </c>
      <c r="N87" s="88" t="n">
        <v>332820</v>
      </c>
      <c r="O87" s="88" t="n">
        <v>779900</v>
      </c>
      <c r="P87" s="40" t="n">
        <f aca="false">INDEX(Pricing_Analysis!$B$6:$B$11,MATCH(E87,Pricing_Analysis!$A$6:$A$11,0))</f>
        <v>390</v>
      </c>
      <c r="Q87" s="39" t="n">
        <f aca="false">I87*P87</f>
        <v>1780740</v>
      </c>
      <c r="R87" s="39" t="n">
        <f aca="false">(I87-J87)*P87</f>
        <v>98670</v>
      </c>
      <c r="S87" s="39" t="n">
        <f aca="false">K87-M87-N87</f>
        <v>633570</v>
      </c>
    </row>
    <row r="88" customFormat="false" ht="15" hidden="false" customHeight="false" outlineLevel="0" collapsed="false">
      <c r="A88" s="89" t="n">
        <v>46082</v>
      </c>
      <c r="B88" s="90" t="n">
        <v>2026</v>
      </c>
      <c r="C88" s="90" t="n">
        <v>3</v>
      </c>
      <c r="D88" s="90" t="s">
        <v>116</v>
      </c>
      <c r="E88" s="90" t="s">
        <v>61</v>
      </c>
      <c r="F88" s="90" t="s">
        <v>235</v>
      </c>
      <c r="G88" s="90" t="n">
        <v>31.8</v>
      </c>
      <c r="H88" s="91" t="n">
        <v>4706</v>
      </c>
      <c r="I88" s="91" t="n">
        <v>3493</v>
      </c>
      <c r="J88" s="91" t="n">
        <v>3157</v>
      </c>
      <c r="K88" s="92" t="n">
        <v>1088890</v>
      </c>
      <c r="L88" s="92" t="n">
        <v>1065500</v>
      </c>
      <c r="M88" s="92" t="n">
        <v>498730</v>
      </c>
      <c r="N88" s="92" t="n">
        <v>232740</v>
      </c>
      <c r="O88" s="92" t="n">
        <v>528800</v>
      </c>
      <c r="P88" s="93" t="n">
        <f aca="false">INDEX(Pricing_Analysis!$B$6:$B$11,MATCH(E88,Pricing_Analysis!$A$6:$A$11,0))</f>
        <v>370</v>
      </c>
      <c r="Q88" s="94" t="n">
        <f aca="false">I88*P88</f>
        <v>1292410</v>
      </c>
      <c r="R88" s="94" t="n">
        <f aca="false">(I88-J88)*P88</f>
        <v>124320</v>
      </c>
      <c r="S88" s="94" t="n">
        <f aca="false">K88-M88-N88</f>
        <v>357420</v>
      </c>
    </row>
    <row r="89" customFormat="false" ht="15" hidden="false" customHeight="false" outlineLevel="0" collapsed="false">
      <c r="A89" s="85" t="n">
        <v>46082</v>
      </c>
      <c r="B89" s="86" t="n">
        <v>2026</v>
      </c>
      <c r="C89" s="86" t="n">
        <v>3</v>
      </c>
      <c r="D89" s="86" t="s">
        <v>116</v>
      </c>
      <c r="E89" s="86" t="s">
        <v>62</v>
      </c>
      <c r="F89" s="86" t="s">
        <v>235</v>
      </c>
      <c r="G89" s="86" t="n">
        <v>26.8</v>
      </c>
      <c r="H89" s="87" t="n">
        <v>3966</v>
      </c>
      <c r="I89" s="87" t="n">
        <v>2766</v>
      </c>
      <c r="J89" s="87" t="n">
        <v>2514</v>
      </c>
      <c r="K89" s="88" t="n">
        <v>796860</v>
      </c>
      <c r="L89" s="88" t="n">
        <v>839700</v>
      </c>
      <c r="M89" s="88" t="n">
        <v>431330</v>
      </c>
      <c r="N89" s="88" t="n">
        <v>159850</v>
      </c>
      <c r="O89" s="88" t="n">
        <v>490600</v>
      </c>
      <c r="P89" s="40" t="n">
        <f aca="false">INDEX(Pricing_Analysis!$B$6:$B$11,MATCH(E89,Pricing_Analysis!$A$6:$A$11,0))</f>
        <v>340</v>
      </c>
      <c r="Q89" s="39" t="n">
        <f aca="false">I89*P89</f>
        <v>940440</v>
      </c>
      <c r="R89" s="39" t="n">
        <f aca="false">(I89-J89)*P89</f>
        <v>85680</v>
      </c>
      <c r="S89" s="39" t="n">
        <f aca="false">K89-M89-N89</f>
        <v>205680</v>
      </c>
    </row>
    <row r="90" customFormat="false" ht="15" hidden="false" customHeight="false" outlineLevel="0" collapsed="false">
      <c r="A90" s="89" t="n">
        <v>46082</v>
      </c>
      <c r="B90" s="90" t="n">
        <v>2026</v>
      </c>
      <c r="C90" s="90" t="n">
        <v>3</v>
      </c>
      <c r="D90" s="90" t="s">
        <v>116</v>
      </c>
      <c r="E90" s="90" t="s">
        <v>63</v>
      </c>
      <c r="F90" s="90" t="s">
        <v>235</v>
      </c>
      <c r="G90" s="90" t="n">
        <v>44.5</v>
      </c>
      <c r="H90" s="91" t="n">
        <v>6586</v>
      </c>
      <c r="I90" s="91" t="n">
        <v>4870</v>
      </c>
      <c r="J90" s="91" t="n">
        <v>4304</v>
      </c>
      <c r="K90" s="92" t="n">
        <v>1572000</v>
      </c>
      <c r="L90" s="92" t="n">
        <v>1583100</v>
      </c>
      <c r="M90" s="92" t="n">
        <v>716630</v>
      </c>
      <c r="N90" s="92" t="n">
        <v>389830</v>
      </c>
      <c r="O90" s="92" t="n">
        <v>908500</v>
      </c>
      <c r="P90" s="93" t="n">
        <f aca="false">INDEX(Pricing_Analysis!$B$6:$B$11,MATCH(E90,Pricing_Analysis!$A$6:$A$11,0))</f>
        <v>410</v>
      </c>
      <c r="Q90" s="94" t="n">
        <f aca="false">I90*P90</f>
        <v>1996700</v>
      </c>
      <c r="R90" s="94" t="n">
        <f aca="false">(I90-J90)*P90</f>
        <v>232060</v>
      </c>
      <c r="S90" s="94" t="n">
        <f aca="false">K90-M90-N90</f>
        <v>465540</v>
      </c>
    </row>
    <row r="91" customFormat="false" ht="15" hidden="false" customHeight="false" outlineLevel="0" collapsed="false">
      <c r="A91" s="85" t="n">
        <v>46082</v>
      </c>
      <c r="B91" s="86" t="n">
        <v>2026</v>
      </c>
      <c r="C91" s="86" t="n">
        <v>3</v>
      </c>
      <c r="D91" s="86" t="s">
        <v>116</v>
      </c>
      <c r="E91" s="86" t="s">
        <v>64</v>
      </c>
      <c r="F91" s="86" t="s">
        <v>235</v>
      </c>
      <c r="G91" s="86" t="n">
        <v>23.2</v>
      </c>
      <c r="H91" s="87" t="n">
        <v>3434</v>
      </c>
      <c r="I91" s="87" t="n">
        <v>2207</v>
      </c>
      <c r="J91" s="87" t="n">
        <v>2069</v>
      </c>
      <c r="K91" s="88" t="n">
        <v>717300</v>
      </c>
      <c r="L91" s="88" t="n">
        <v>669600</v>
      </c>
      <c r="M91" s="88" t="n">
        <v>350400</v>
      </c>
      <c r="N91" s="88" t="n">
        <v>168010</v>
      </c>
      <c r="O91" s="88" t="n">
        <v>476800</v>
      </c>
      <c r="P91" s="40" t="n">
        <f aca="false">INDEX(Pricing_Analysis!$B$6:$B$11,MATCH(E91,Pricing_Analysis!$A$6:$A$11,0))</f>
        <v>355</v>
      </c>
      <c r="Q91" s="39" t="n">
        <f aca="false">I91*P91</f>
        <v>783485</v>
      </c>
      <c r="R91" s="39" t="n">
        <f aca="false">(I91-J91)*P91</f>
        <v>48990</v>
      </c>
      <c r="S91" s="39" t="n">
        <f aca="false">K91-M91-N91</f>
        <v>198890</v>
      </c>
    </row>
    <row r="92" customFormat="false" ht="15" hidden="false" customHeight="false" outlineLevel="0" collapsed="false">
      <c r="A92" s="89" t="n">
        <v>46082</v>
      </c>
      <c r="B92" s="90" t="n">
        <v>2026</v>
      </c>
      <c r="C92" s="90" t="n">
        <v>3</v>
      </c>
      <c r="D92" s="90" t="s">
        <v>116</v>
      </c>
      <c r="E92" s="90" t="s">
        <v>65</v>
      </c>
      <c r="F92" s="90" t="s">
        <v>235</v>
      </c>
      <c r="G92" s="90" t="n">
        <v>14</v>
      </c>
      <c r="H92" s="91" t="n">
        <v>2072</v>
      </c>
      <c r="I92" s="91" t="n">
        <v>1367</v>
      </c>
      <c r="J92" s="91" t="n">
        <v>1162</v>
      </c>
      <c r="K92" s="92" t="n">
        <v>357990</v>
      </c>
      <c r="L92" s="92" t="n">
        <v>366500</v>
      </c>
      <c r="M92" s="92" t="n">
        <v>216170</v>
      </c>
      <c r="N92" s="92" t="n">
        <v>72750</v>
      </c>
      <c r="O92" s="92" t="n">
        <v>221200</v>
      </c>
      <c r="P92" s="93" t="n">
        <f aca="false">INDEX(Pricing_Analysis!$B$6:$B$11,MATCH(E92,Pricing_Analysis!$A$6:$A$11,0))</f>
        <v>330</v>
      </c>
      <c r="Q92" s="94" t="n">
        <f aca="false">I92*P92</f>
        <v>451110</v>
      </c>
      <c r="R92" s="94" t="n">
        <f aca="false">(I92-J92)*P92</f>
        <v>67650</v>
      </c>
      <c r="S92" s="94" t="n">
        <f aca="false">K92-M92-N92</f>
        <v>69070</v>
      </c>
    </row>
    <row r="93" customFormat="false" ht="15" hidden="false" customHeight="false" outlineLevel="0" collapsed="false">
      <c r="A93" s="85" t="n">
        <v>46113</v>
      </c>
      <c r="B93" s="86" t="n">
        <v>2026</v>
      </c>
      <c r="C93" s="86" t="n">
        <v>4</v>
      </c>
      <c r="D93" s="86" t="s">
        <v>117</v>
      </c>
      <c r="E93" s="86" t="s">
        <v>60</v>
      </c>
      <c r="F93" s="86" t="s">
        <v>235</v>
      </c>
      <c r="G93" s="86" t="n">
        <v>40</v>
      </c>
      <c r="H93" s="87" t="n">
        <v>5565</v>
      </c>
      <c r="I93" s="87" t="n">
        <v>3919</v>
      </c>
      <c r="J93" s="87" t="n">
        <v>3607</v>
      </c>
      <c r="K93" s="88" t="n">
        <v>1323390</v>
      </c>
      <c r="L93" s="88" t="n">
        <v>1422500</v>
      </c>
      <c r="M93" s="88" t="n">
        <v>652800</v>
      </c>
      <c r="N93" s="88" t="n">
        <v>290640</v>
      </c>
      <c r="O93" s="88" t="n">
        <v>712100</v>
      </c>
      <c r="P93" s="40" t="n">
        <f aca="false">INDEX(Pricing_Analysis!$B$6:$B$11,MATCH(E93,Pricing_Analysis!$A$6:$A$11,0))</f>
        <v>390</v>
      </c>
      <c r="Q93" s="39" t="n">
        <f aca="false">I93*P93</f>
        <v>1528410</v>
      </c>
      <c r="R93" s="39" t="n">
        <f aca="false">(I93-J93)*P93</f>
        <v>121680</v>
      </c>
      <c r="S93" s="39" t="n">
        <f aca="false">K93-M93-N93</f>
        <v>379950</v>
      </c>
    </row>
    <row r="94" customFormat="false" ht="15" hidden="false" customHeight="false" outlineLevel="0" collapsed="false">
      <c r="A94" s="89" t="n">
        <v>46113</v>
      </c>
      <c r="B94" s="90" t="n">
        <v>2026</v>
      </c>
      <c r="C94" s="90" t="n">
        <v>4</v>
      </c>
      <c r="D94" s="90" t="s">
        <v>117</v>
      </c>
      <c r="E94" s="90" t="s">
        <v>61</v>
      </c>
      <c r="F94" s="90" t="s">
        <v>235</v>
      </c>
      <c r="G94" s="90" t="n">
        <v>31.7</v>
      </c>
      <c r="H94" s="91" t="n">
        <v>4410</v>
      </c>
      <c r="I94" s="91" t="n">
        <v>3000</v>
      </c>
      <c r="J94" s="91" t="n">
        <v>2803</v>
      </c>
      <c r="K94" s="92" t="n">
        <v>969650</v>
      </c>
      <c r="L94" s="92" t="n">
        <v>1020300</v>
      </c>
      <c r="M94" s="92" t="n">
        <v>516980</v>
      </c>
      <c r="N94" s="92" t="n">
        <v>233890</v>
      </c>
      <c r="O94" s="92" t="n">
        <v>612900</v>
      </c>
      <c r="P94" s="93" t="n">
        <f aca="false">INDEX(Pricing_Analysis!$B$6:$B$11,MATCH(E94,Pricing_Analysis!$A$6:$A$11,0))</f>
        <v>370</v>
      </c>
      <c r="Q94" s="94" t="n">
        <f aca="false">I94*P94</f>
        <v>1110000</v>
      </c>
      <c r="R94" s="94" t="n">
        <f aca="false">(I94-J94)*P94</f>
        <v>72890</v>
      </c>
      <c r="S94" s="94" t="n">
        <f aca="false">K94-M94-N94</f>
        <v>218780</v>
      </c>
    </row>
    <row r="95" customFormat="false" ht="15" hidden="false" customHeight="false" outlineLevel="0" collapsed="false">
      <c r="A95" s="85" t="n">
        <v>46113</v>
      </c>
      <c r="B95" s="86" t="n">
        <v>2026</v>
      </c>
      <c r="C95" s="86" t="n">
        <v>4</v>
      </c>
      <c r="D95" s="86" t="s">
        <v>117</v>
      </c>
      <c r="E95" s="86" t="s">
        <v>62</v>
      </c>
      <c r="F95" s="86" t="s">
        <v>235</v>
      </c>
      <c r="G95" s="86" t="n">
        <v>27.6</v>
      </c>
      <c r="H95" s="87" t="n">
        <v>3840</v>
      </c>
      <c r="I95" s="87" t="n">
        <v>2580</v>
      </c>
      <c r="J95" s="87" t="n">
        <v>2364</v>
      </c>
      <c r="K95" s="88" t="n">
        <v>753790</v>
      </c>
      <c r="L95" s="88" t="n">
        <v>756700</v>
      </c>
      <c r="M95" s="88" t="n">
        <v>452580</v>
      </c>
      <c r="N95" s="88" t="n">
        <v>179500</v>
      </c>
      <c r="O95" s="88" t="n">
        <v>375100</v>
      </c>
      <c r="P95" s="40" t="n">
        <f aca="false">INDEX(Pricing_Analysis!$B$6:$B$11,MATCH(E95,Pricing_Analysis!$A$6:$A$11,0))</f>
        <v>340</v>
      </c>
      <c r="Q95" s="39" t="n">
        <f aca="false">I95*P95</f>
        <v>877200</v>
      </c>
      <c r="R95" s="39" t="n">
        <f aca="false">(I95-J95)*P95</f>
        <v>73440</v>
      </c>
      <c r="S95" s="39" t="n">
        <f aca="false">K95-M95-N95</f>
        <v>121710</v>
      </c>
    </row>
    <row r="96" customFormat="false" ht="15" hidden="false" customHeight="false" outlineLevel="0" collapsed="false">
      <c r="A96" s="89" t="n">
        <v>46113</v>
      </c>
      <c r="B96" s="90" t="n">
        <v>2026</v>
      </c>
      <c r="C96" s="90" t="n">
        <v>4</v>
      </c>
      <c r="D96" s="90" t="s">
        <v>117</v>
      </c>
      <c r="E96" s="90" t="s">
        <v>63</v>
      </c>
      <c r="F96" s="90" t="s">
        <v>235</v>
      </c>
      <c r="G96" s="90" t="n">
        <v>44.1</v>
      </c>
      <c r="H96" s="91" t="n">
        <v>6135</v>
      </c>
      <c r="I96" s="91" t="n">
        <v>4176</v>
      </c>
      <c r="J96" s="91" t="n">
        <v>3827</v>
      </c>
      <c r="K96" s="92" t="n">
        <v>1437610</v>
      </c>
      <c r="L96" s="92" t="n">
        <v>1409000</v>
      </c>
      <c r="M96" s="92" t="n">
        <v>673860</v>
      </c>
      <c r="N96" s="92" t="n">
        <v>290770</v>
      </c>
      <c r="O96" s="92" t="n">
        <v>717000</v>
      </c>
      <c r="P96" s="93" t="n">
        <f aca="false">INDEX(Pricing_Analysis!$B$6:$B$11,MATCH(E96,Pricing_Analysis!$A$6:$A$11,0))</f>
        <v>410</v>
      </c>
      <c r="Q96" s="94" t="n">
        <f aca="false">I96*P96</f>
        <v>1712160</v>
      </c>
      <c r="R96" s="94" t="n">
        <f aca="false">(I96-J96)*P96</f>
        <v>143090</v>
      </c>
      <c r="S96" s="94" t="n">
        <f aca="false">K96-M96-N96</f>
        <v>472980</v>
      </c>
    </row>
    <row r="97" customFormat="false" ht="15" hidden="false" customHeight="false" outlineLevel="0" collapsed="false">
      <c r="A97" s="85" t="n">
        <v>46113</v>
      </c>
      <c r="B97" s="86" t="n">
        <v>2026</v>
      </c>
      <c r="C97" s="86" t="n">
        <v>4</v>
      </c>
      <c r="D97" s="86" t="s">
        <v>117</v>
      </c>
      <c r="E97" s="86" t="s">
        <v>64</v>
      </c>
      <c r="F97" s="86" t="s">
        <v>235</v>
      </c>
      <c r="G97" s="86" t="n">
        <v>22.8</v>
      </c>
      <c r="H97" s="87" t="n">
        <v>3172</v>
      </c>
      <c r="I97" s="87" t="n">
        <v>2083</v>
      </c>
      <c r="J97" s="87" t="n">
        <v>1905</v>
      </c>
      <c r="K97" s="88" t="n">
        <v>641760</v>
      </c>
      <c r="L97" s="88" t="n">
        <v>602200</v>
      </c>
      <c r="M97" s="88" t="n">
        <v>370950</v>
      </c>
      <c r="N97" s="88" t="n">
        <v>151810</v>
      </c>
      <c r="O97" s="88" t="n">
        <v>264900</v>
      </c>
      <c r="P97" s="40" t="n">
        <f aca="false">INDEX(Pricing_Analysis!$B$6:$B$11,MATCH(E97,Pricing_Analysis!$A$6:$A$11,0))</f>
        <v>355</v>
      </c>
      <c r="Q97" s="39" t="n">
        <f aca="false">I97*P97</f>
        <v>739465</v>
      </c>
      <c r="R97" s="39" t="n">
        <f aca="false">(I97-J97)*P97</f>
        <v>63190</v>
      </c>
      <c r="S97" s="39" t="n">
        <f aca="false">K97-M97-N97</f>
        <v>119000</v>
      </c>
    </row>
    <row r="98" customFormat="false" ht="15" hidden="false" customHeight="false" outlineLevel="0" collapsed="false">
      <c r="A98" s="89" t="n">
        <v>46113</v>
      </c>
      <c r="B98" s="90" t="n">
        <v>2026</v>
      </c>
      <c r="C98" s="90" t="n">
        <v>4</v>
      </c>
      <c r="D98" s="90" t="s">
        <v>117</v>
      </c>
      <c r="E98" s="90" t="s">
        <v>65</v>
      </c>
      <c r="F98" s="90" t="s">
        <v>235</v>
      </c>
      <c r="G98" s="90" t="n">
        <v>14.1</v>
      </c>
      <c r="H98" s="91" t="n">
        <v>1962</v>
      </c>
      <c r="I98" s="91" t="n">
        <v>1187</v>
      </c>
      <c r="J98" s="91" t="n">
        <v>1032</v>
      </c>
      <c r="K98" s="92" t="n">
        <v>321010</v>
      </c>
      <c r="L98" s="92" t="n">
        <v>297200</v>
      </c>
      <c r="M98" s="92" t="n">
        <v>213740</v>
      </c>
      <c r="N98" s="92" t="n">
        <v>64550</v>
      </c>
      <c r="O98" s="92" t="n">
        <v>136800</v>
      </c>
      <c r="P98" s="93" t="n">
        <f aca="false">INDEX(Pricing_Analysis!$B$6:$B$11,MATCH(E98,Pricing_Analysis!$A$6:$A$11,0))</f>
        <v>330</v>
      </c>
      <c r="Q98" s="94" t="n">
        <f aca="false">I98*P98</f>
        <v>391710</v>
      </c>
      <c r="R98" s="94" t="n">
        <f aca="false">(I98-J98)*P98</f>
        <v>51150</v>
      </c>
      <c r="S98" s="94" t="n">
        <f aca="false">K98-M98-N98</f>
        <v>42720</v>
      </c>
    </row>
    <row r="99" customFormat="false" ht="15" hidden="false" customHeight="false" outlineLevel="0" collapsed="false">
      <c r="A99" s="85" t="n">
        <v>46143</v>
      </c>
      <c r="B99" s="86" t="n">
        <v>2026</v>
      </c>
      <c r="C99" s="86" t="n">
        <v>5</v>
      </c>
      <c r="D99" s="86" t="s">
        <v>118</v>
      </c>
      <c r="E99" s="86" t="s">
        <v>60</v>
      </c>
      <c r="F99" s="86" t="s">
        <v>235</v>
      </c>
      <c r="G99" s="86" t="n">
        <v>39.9</v>
      </c>
      <c r="H99" s="87" t="n">
        <v>5610</v>
      </c>
      <c r="I99" s="87" t="n">
        <v>4012</v>
      </c>
      <c r="J99" s="87" t="n">
        <v>3730</v>
      </c>
      <c r="K99" s="88" t="n">
        <v>1359080</v>
      </c>
      <c r="L99" s="88" t="n">
        <v>1290600</v>
      </c>
      <c r="M99" s="88" t="n">
        <v>619010</v>
      </c>
      <c r="N99" s="88" t="n">
        <v>272290</v>
      </c>
      <c r="O99" s="88" t="n">
        <v>836000</v>
      </c>
      <c r="P99" s="40" t="n">
        <f aca="false">INDEX(Pricing_Analysis!$B$6:$B$11,MATCH(E99,Pricing_Analysis!$A$6:$A$11,0))</f>
        <v>390</v>
      </c>
      <c r="Q99" s="39" t="n">
        <f aca="false">I99*P99</f>
        <v>1564680</v>
      </c>
      <c r="R99" s="39" t="n">
        <f aca="false">(I99-J99)*P99</f>
        <v>109980</v>
      </c>
      <c r="S99" s="39" t="n">
        <f aca="false">K99-M99-N99</f>
        <v>467780</v>
      </c>
    </row>
    <row r="100" customFormat="false" ht="15" hidden="false" customHeight="false" outlineLevel="0" collapsed="false">
      <c r="A100" s="89" t="n">
        <v>46143</v>
      </c>
      <c r="B100" s="90" t="n">
        <v>2026</v>
      </c>
      <c r="C100" s="90" t="n">
        <v>5</v>
      </c>
      <c r="D100" s="90" t="s">
        <v>118</v>
      </c>
      <c r="E100" s="90" t="s">
        <v>61</v>
      </c>
      <c r="F100" s="90" t="s">
        <v>235</v>
      </c>
      <c r="G100" s="90" t="n">
        <v>31.5</v>
      </c>
      <c r="H100" s="91" t="n">
        <v>4429</v>
      </c>
      <c r="I100" s="91" t="n">
        <v>3026</v>
      </c>
      <c r="J100" s="91" t="n">
        <v>2814</v>
      </c>
      <c r="K100" s="92" t="n">
        <v>977500</v>
      </c>
      <c r="L100" s="92" t="n">
        <v>940000</v>
      </c>
      <c r="M100" s="92" t="n">
        <v>528040</v>
      </c>
      <c r="N100" s="92" t="n">
        <v>239350</v>
      </c>
      <c r="O100" s="92" t="n">
        <v>459200</v>
      </c>
      <c r="P100" s="93" t="n">
        <f aca="false">INDEX(Pricing_Analysis!$B$6:$B$11,MATCH(E100,Pricing_Analysis!$A$6:$A$11,0))</f>
        <v>370</v>
      </c>
      <c r="Q100" s="94" t="n">
        <f aca="false">I100*P100</f>
        <v>1119620</v>
      </c>
      <c r="R100" s="94" t="n">
        <f aca="false">(I100-J100)*P100</f>
        <v>78440</v>
      </c>
      <c r="S100" s="94" t="n">
        <f aca="false">K100-M100-N100</f>
        <v>210110</v>
      </c>
    </row>
    <row r="101" customFormat="false" ht="15" hidden="false" customHeight="false" outlineLevel="0" collapsed="false">
      <c r="A101" s="85" t="n">
        <v>46143</v>
      </c>
      <c r="B101" s="86" t="n">
        <v>2026</v>
      </c>
      <c r="C101" s="86" t="n">
        <v>5</v>
      </c>
      <c r="D101" s="86" t="s">
        <v>118</v>
      </c>
      <c r="E101" s="86" t="s">
        <v>62</v>
      </c>
      <c r="F101" s="86" t="s">
        <v>235</v>
      </c>
      <c r="G101" s="86" t="n">
        <v>27.5</v>
      </c>
      <c r="H101" s="87" t="n">
        <v>3866</v>
      </c>
      <c r="I101" s="87" t="n">
        <v>2668</v>
      </c>
      <c r="J101" s="87" t="n">
        <v>2387</v>
      </c>
      <c r="K101" s="88" t="n">
        <v>742130</v>
      </c>
      <c r="L101" s="88" t="n">
        <v>688700</v>
      </c>
      <c r="M101" s="88" t="n">
        <v>464390</v>
      </c>
      <c r="N101" s="88" t="n">
        <v>176690</v>
      </c>
      <c r="O101" s="88" t="n">
        <v>359700</v>
      </c>
      <c r="P101" s="40" t="n">
        <f aca="false">INDEX(Pricing_Analysis!$B$6:$B$11,MATCH(E101,Pricing_Analysis!$A$6:$A$11,0))</f>
        <v>340</v>
      </c>
      <c r="Q101" s="39" t="n">
        <f aca="false">I101*P101</f>
        <v>907120</v>
      </c>
      <c r="R101" s="39" t="n">
        <f aca="false">(I101-J101)*P101</f>
        <v>95540</v>
      </c>
      <c r="S101" s="39" t="n">
        <f aca="false">K101-M101-N101</f>
        <v>101050</v>
      </c>
    </row>
    <row r="102" customFormat="false" ht="15" hidden="false" customHeight="false" outlineLevel="0" collapsed="false">
      <c r="A102" s="89" t="n">
        <v>46143</v>
      </c>
      <c r="B102" s="90" t="n">
        <v>2026</v>
      </c>
      <c r="C102" s="90" t="n">
        <v>5</v>
      </c>
      <c r="D102" s="90" t="s">
        <v>118</v>
      </c>
      <c r="E102" s="90" t="s">
        <v>63</v>
      </c>
      <c r="F102" s="90" t="s">
        <v>235</v>
      </c>
      <c r="G102" s="90" t="n">
        <v>44.4</v>
      </c>
      <c r="H102" s="91" t="n">
        <v>6243</v>
      </c>
      <c r="I102" s="91" t="n">
        <v>4502</v>
      </c>
      <c r="J102" s="91" t="n">
        <v>4030</v>
      </c>
      <c r="K102" s="92" t="n">
        <v>1513800</v>
      </c>
      <c r="L102" s="92" t="n">
        <v>1552000</v>
      </c>
      <c r="M102" s="92" t="n">
        <v>684850</v>
      </c>
      <c r="N102" s="92" t="n">
        <v>288610</v>
      </c>
      <c r="O102" s="92" t="n">
        <v>780300</v>
      </c>
      <c r="P102" s="93" t="n">
        <f aca="false">INDEX(Pricing_Analysis!$B$6:$B$11,MATCH(E102,Pricing_Analysis!$A$6:$A$11,0))</f>
        <v>410</v>
      </c>
      <c r="Q102" s="94" t="n">
        <f aca="false">I102*P102</f>
        <v>1845820</v>
      </c>
      <c r="R102" s="94" t="n">
        <f aca="false">(I102-J102)*P102</f>
        <v>193520</v>
      </c>
      <c r="S102" s="94" t="n">
        <f aca="false">K102-M102-N102</f>
        <v>540340</v>
      </c>
    </row>
    <row r="103" customFormat="false" ht="15" hidden="false" customHeight="false" outlineLevel="0" collapsed="false">
      <c r="A103" s="85" t="n">
        <v>46143</v>
      </c>
      <c r="B103" s="86" t="n">
        <v>2026</v>
      </c>
      <c r="C103" s="86" t="n">
        <v>5</v>
      </c>
      <c r="D103" s="86" t="s">
        <v>118</v>
      </c>
      <c r="E103" s="86" t="s">
        <v>64</v>
      </c>
      <c r="F103" s="86" t="s">
        <v>235</v>
      </c>
      <c r="G103" s="86" t="n">
        <v>23</v>
      </c>
      <c r="H103" s="87" t="n">
        <v>3234</v>
      </c>
      <c r="I103" s="87" t="n">
        <v>2131</v>
      </c>
      <c r="J103" s="87" t="n">
        <v>2014</v>
      </c>
      <c r="K103" s="88" t="n">
        <v>690740</v>
      </c>
      <c r="L103" s="88" t="n">
        <v>652900</v>
      </c>
      <c r="M103" s="88" t="n">
        <v>350940</v>
      </c>
      <c r="N103" s="88" t="n">
        <v>144580</v>
      </c>
      <c r="O103" s="88" t="n">
        <v>304500</v>
      </c>
      <c r="P103" s="40" t="n">
        <f aca="false">INDEX(Pricing_Analysis!$B$6:$B$11,MATCH(E103,Pricing_Analysis!$A$6:$A$11,0))</f>
        <v>355</v>
      </c>
      <c r="Q103" s="39" t="n">
        <f aca="false">I103*P103</f>
        <v>756505</v>
      </c>
      <c r="R103" s="39" t="n">
        <f aca="false">(I103-J103)*P103</f>
        <v>41535</v>
      </c>
      <c r="S103" s="39" t="n">
        <f aca="false">K103-M103-N103</f>
        <v>195220</v>
      </c>
    </row>
    <row r="104" customFormat="false" ht="15" hidden="false" customHeight="false" outlineLevel="0" collapsed="false">
      <c r="A104" s="89" t="n">
        <v>46143</v>
      </c>
      <c r="B104" s="90" t="n">
        <v>2026</v>
      </c>
      <c r="C104" s="90" t="n">
        <v>5</v>
      </c>
      <c r="D104" s="90" t="s">
        <v>118</v>
      </c>
      <c r="E104" s="90" t="s">
        <v>65</v>
      </c>
      <c r="F104" s="90" t="s">
        <v>235</v>
      </c>
      <c r="G104" s="90" t="n">
        <v>15.1</v>
      </c>
      <c r="H104" s="91" t="n">
        <v>2123</v>
      </c>
      <c r="I104" s="91" t="n">
        <v>1318</v>
      </c>
      <c r="J104" s="91" t="n">
        <v>1149</v>
      </c>
      <c r="K104" s="92" t="n">
        <v>359160</v>
      </c>
      <c r="L104" s="92" t="n">
        <v>345700</v>
      </c>
      <c r="M104" s="92" t="n">
        <v>242150</v>
      </c>
      <c r="N104" s="92" t="n">
        <v>71490</v>
      </c>
      <c r="O104" s="92" t="n">
        <v>222500</v>
      </c>
      <c r="P104" s="93" t="n">
        <f aca="false">INDEX(Pricing_Analysis!$B$6:$B$11,MATCH(E104,Pricing_Analysis!$A$6:$A$11,0))</f>
        <v>330</v>
      </c>
      <c r="Q104" s="94" t="n">
        <f aca="false">I104*P104</f>
        <v>434940</v>
      </c>
      <c r="R104" s="94" t="n">
        <f aca="false">(I104-J104)*P104</f>
        <v>55770</v>
      </c>
      <c r="S104" s="94" t="n">
        <f aca="false">K104-M104-N104</f>
        <v>45520</v>
      </c>
    </row>
    <row r="105" customFormat="false" ht="15" hidden="false" customHeight="false" outlineLevel="0" collapsed="false">
      <c r="A105" s="85" t="n">
        <v>46174</v>
      </c>
      <c r="B105" s="86" t="n">
        <v>2026</v>
      </c>
      <c r="C105" s="86" t="n">
        <v>6</v>
      </c>
      <c r="D105" s="86" t="s">
        <v>119</v>
      </c>
      <c r="E105" s="86" t="s">
        <v>60</v>
      </c>
      <c r="F105" s="86" t="s">
        <v>235</v>
      </c>
      <c r="G105" s="86" t="n">
        <v>39.8</v>
      </c>
      <c r="H105" s="87" t="n">
        <v>5890</v>
      </c>
      <c r="I105" s="87" t="n">
        <v>4468</v>
      </c>
      <c r="J105" s="87" t="n">
        <v>4206</v>
      </c>
      <c r="K105" s="88" t="n">
        <v>1588440</v>
      </c>
      <c r="L105" s="88" t="n">
        <v>1482300</v>
      </c>
      <c r="M105" s="88" t="n">
        <v>616540</v>
      </c>
      <c r="N105" s="88" t="n">
        <v>370090</v>
      </c>
      <c r="O105" s="88" t="n">
        <v>610000</v>
      </c>
      <c r="P105" s="40" t="n">
        <f aca="false">INDEX(Pricing_Analysis!$B$6:$B$11,MATCH(E105,Pricing_Analysis!$A$6:$A$11,0))</f>
        <v>390</v>
      </c>
      <c r="Q105" s="39" t="n">
        <f aca="false">I105*P105</f>
        <v>1742520</v>
      </c>
      <c r="R105" s="39" t="n">
        <f aca="false">(I105-J105)*P105</f>
        <v>102180</v>
      </c>
      <c r="S105" s="39" t="n">
        <f aca="false">K105-M105-N105</f>
        <v>601810</v>
      </c>
    </row>
    <row r="106" customFormat="false" ht="15" hidden="false" customHeight="false" outlineLevel="0" collapsed="false">
      <c r="A106" s="89" t="n">
        <v>46174</v>
      </c>
      <c r="B106" s="90" t="n">
        <v>2026</v>
      </c>
      <c r="C106" s="90" t="n">
        <v>6</v>
      </c>
      <c r="D106" s="90" t="s">
        <v>119</v>
      </c>
      <c r="E106" s="90" t="s">
        <v>61</v>
      </c>
      <c r="F106" s="90" t="s">
        <v>235</v>
      </c>
      <c r="G106" s="90" t="n">
        <v>31.8</v>
      </c>
      <c r="H106" s="91" t="n">
        <v>4706</v>
      </c>
      <c r="I106" s="91" t="n">
        <v>3350</v>
      </c>
      <c r="J106" s="91" t="n">
        <v>3137</v>
      </c>
      <c r="K106" s="92" t="n">
        <v>1096720</v>
      </c>
      <c r="L106" s="92" t="n">
        <v>1159400</v>
      </c>
      <c r="M106" s="92" t="n">
        <v>494820</v>
      </c>
      <c r="N106" s="92" t="n">
        <v>260320</v>
      </c>
      <c r="O106" s="92" t="n">
        <v>543900</v>
      </c>
      <c r="P106" s="93" t="n">
        <f aca="false">INDEX(Pricing_Analysis!$B$6:$B$11,MATCH(E106,Pricing_Analysis!$A$6:$A$11,0))</f>
        <v>370</v>
      </c>
      <c r="Q106" s="94" t="n">
        <f aca="false">I106*P106</f>
        <v>1239500</v>
      </c>
      <c r="R106" s="94" t="n">
        <f aca="false">(I106-J106)*P106</f>
        <v>78810</v>
      </c>
      <c r="S106" s="94" t="n">
        <f aca="false">K106-M106-N106</f>
        <v>341580</v>
      </c>
    </row>
    <row r="107" customFormat="false" ht="15" hidden="false" customHeight="false" outlineLevel="0" collapsed="false">
      <c r="A107" s="85" t="n">
        <v>46174</v>
      </c>
      <c r="B107" s="86" t="n">
        <v>2026</v>
      </c>
      <c r="C107" s="86" t="n">
        <v>6</v>
      </c>
      <c r="D107" s="86" t="s">
        <v>119</v>
      </c>
      <c r="E107" s="86" t="s">
        <v>62</v>
      </c>
      <c r="F107" s="86" t="s">
        <v>235</v>
      </c>
      <c r="G107" s="86" t="n">
        <v>28</v>
      </c>
      <c r="H107" s="87" t="n">
        <v>4144</v>
      </c>
      <c r="I107" s="87" t="n">
        <v>2754</v>
      </c>
      <c r="J107" s="87" t="n">
        <v>2507</v>
      </c>
      <c r="K107" s="88" t="n">
        <v>778840</v>
      </c>
      <c r="L107" s="88" t="n">
        <v>784200</v>
      </c>
      <c r="M107" s="88" t="n">
        <v>448500</v>
      </c>
      <c r="N107" s="88" t="n">
        <v>155340</v>
      </c>
      <c r="O107" s="88" t="n">
        <v>499400</v>
      </c>
      <c r="P107" s="40" t="n">
        <f aca="false">INDEX(Pricing_Analysis!$B$6:$B$11,MATCH(E107,Pricing_Analysis!$A$6:$A$11,0))</f>
        <v>340</v>
      </c>
      <c r="Q107" s="39" t="n">
        <f aca="false">I107*P107</f>
        <v>936360</v>
      </c>
      <c r="R107" s="39" t="n">
        <f aca="false">(I107-J107)*P107</f>
        <v>83980</v>
      </c>
      <c r="S107" s="39" t="n">
        <f aca="false">K107-M107-N107</f>
        <v>175000</v>
      </c>
    </row>
    <row r="108" customFormat="false" ht="15" hidden="false" customHeight="false" outlineLevel="0" collapsed="false">
      <c r="A108" s="89" t="n">
        <v>46174</v>
      </c>
      <c r="B108" s="90" t="n">
        <v>2026</v>
      </c>
      <c r="C108" s="90" t="n">
        <v>6</v>
      </c>
      <c r="D108" s="90" t="s">
        <v>119</v>
      </c>
      <c r="E108" s="90" t="s">
        <v>63</v>
      </c>
      <c r="F108" s="90" t="s">
        <v>235</v>
      </c>
      <c r="G108" s="90" t="n">
        <v>44.3</v>
      </c>
      <c r="H108" s="91" t="n">
        <v>6556</v>
      </c>
      <c r="I108" s="91" t="n">
        <v>4863</v>
      </c>
      <c r="J108" s="91" t="n">
        <v>4309</v>
      </c>
      <c r="K108" s="92" t="n">
        <v>1554020</v>
      </c>
      <c r="L108" s="92" t="n">
        <v>1545900</v>
      </c>
      <c r="M108" s="92" t="n">
        <v>726880</v>
      </c>
      <c r="N108" s="92" t="n">
        <v>328800</v>
      </c>
      <c r="O108" s="92" t="n">
        <v>917600</v>
      </c>
      <c r="P108" s="93" t="n">
        <f aca="false">INDEX(Pricing_Analysis!$B$6:$B$11,MATCH(E108,Pricing_Analysis!$A$6:$A$11,0))</f>
        <v>410</v>
      </c>
      <c r="Q108" s="94" t="n">
        <f aca="false">I108*P108</f>
        <v>1993830</v>
      </c>
      <c r="R108" s="94" t="n">
        <f aca="false">(I108-J108)*P108</f>
        <v>227140</v>
      </c>
      <c r="S108" s="94" t="n">
        <f aca="false">K108-M108-N108</f>
        <v>498340</v>
      </c>
    </row>
    <row r="109" customFormat="false" ht="15" hidden="false" customHeight="false" outlineLevel="0" collapsed="false">
      <c r="A109" s="85" t="n">
        <v>46174</v>
      </c>
      <c r="B109" s="86" t="n">
        <v>2026</v>
      </c>
      <c r="C109" s="86" t="n">
        <v>6</v>
      </c>
      <c r="D109" s="86" t="s">
        <v>119</v>
      </c>
      <c r="E109" s="86" t="s">
        <v>64</v>
      </c>
      <c r="F109" s="86" t="s">
        <v>235</v>
      </c>
      <c r="G109" s="86" t="n">
        <v>22.9</v>
      </c>
      <c r="H109" s="87" t="n">
        <v>3389</v>
      </c>
      <c r="I109" s="87" t="n">
        <v>2253</v>
      </c>
      <c r="J109" s="87" t="n">
        <v>2103</v>
      </c>
      <c r="K109" s="88" t="n">
        <v>736780</v>
      </c>
      <c r="L109" s="88" t="n">
        <v>775700</v>
      </c>
      <c r="M109" s="88" t="n">
        <v>372860</v>
      </c>
      <c r="N109" s="88" t="n">
        <v>140530</v>
      </c>
      <c r="O109" s="88" t="n">
        <v>355100</v>
      </c>
      <c r="P109" s="40" t="n">
        <f aca="false">INDEX(Pricing_Analysis!$B$6:$B$11,MATCH(E109,Pricing_Analysis!$A$6:$A$11,0))</f>
        <v>355</v>
      </c>
      <c r="Q109" s="39" t="n">
        <f aca="false">I109*P109</f>
        <v>799815</v>
      </c>
      <c r="R109" s="39" t="n">
        <f aca="false">(I109-J109)*P109</f>
        <v>53250</v>
      </c>
      <c r="S109" s="39" t="n">
        <f aca="false">K109-M109-N109</f>
        <v>223390</v>
      </c>
    </row>
    <row r="110" customFormat="false" ht="15" hidden="false" customHeight="false" outlineLevel="0" collapsed="false">
      <c r="A110" s="89" t="n">
        <v>46174</v>
      </c>
      <c r="B110" s="90" t="n">
        <v>2026</v>
      </c>
      <c r="C110" s="90" t="n">
        <v>6</v>
      </c>
      <c r="D110" s="90" t="s">
        <v>119</v>
      </c>
      <c r="E110" s="90" t="s">
        <v>65</v>
      </c>
      <c r="F110" s="90" t="s">
        <v>235</v>
      </c>
      <c r="G110" s="90" t="n">
        <v>15.1</v>
      </c>
      <c r="H110" s="91" t="n">
        <v>2235</v>
      </c>
      <c r="I110" s="91" t="n">
        <v>1417</v>
      </c>
      <c r="J110" s="91" t="n">
        <v>1231</v>
      </c>
      <c r="K110" s="92" t="n">
        <v>372790</v>
      </c>
      <c r="L110" s="92" t="n">
        <v>343600</v>
      </c>
      <c r="M110" s="92" t="n">
        <v>256360</v>
      </c>
      <c r="N110" s="92" t="n">
        <v>88710</v>
      </c>
      <c r="O110" s="92" t="n">
        <v>157400</v>
      </c>
      <c r="P110" s="93" t="n">
        <f aca="false">INDEX(Pricing_Analysis!$B$6:$B$11,MATCH(E110,Pricing_Analysis!$A$6:$A$11,0))</f>
        <v>330</v>
      </c>
      <c r="Q110" s="94" t="n">
        <f aca="false">I110*P110</f>
        <v>467610</v>
      </c>
      <c r="R110" s="94" t="n">
        <f aca="false">(I110-J110)*P110</f>
        <v>61380</v>
      </c>
      <c r="S110" s="94" t="n">
        <f aca="false">K110-M110-N110</f>
        <v>27720</v>
      </c>
    </row>
    <row r="111" customFormat="false" ht="15" hidden="false" customHeight="false" outlineLevel="0" collapsed="false">
      <c r="A111" s="85" t="n">
        <v>46204</v>
      </c>
      <c r="B111" s="86" t="n">
        <v>2026</v>
      </c>
      <c r="C111" s="86" t="n">
        <v>7</v>
      </c>
      <c r="D111" s="86" t="s">
        <v>120</v>
      </c>
      <c r="E111" s="86" t="s">
        <v>60</v>
      </c>
      <c r="F111" s="86" t="s">
        <v>235</v>
      </c>
      <c r="G111" s="86" t="n">
        <v>40.5</v>
      </c>
      <c r="H111" s="87" t="n">
        <v>5994</v>
      </c>
      <c r="I111" s="87" t="n">
        <v>4026</v>
      </c>
      <c r="J111" s="87" t="n">
        <v>3702</v>
      </c>
      <c r="K111" s="88" t="n">
        <v>1374860</v>
      </c>
      <c r="L111" s="88" t="n">
        <v>1330500</v>
      </c>
      <c r="M111" s="88" t="n">
        <v>633020</v>
      </c>
      <c r="N111" s="88" t="n">
        <v>293580</v>
      </c>
      <c r="O111" s="88" t="n">
        <v>802000</v>
      </c>
      <c r="P111" s="40" t="n">
        <f aca="false">INDEX(Pricing_Analysis!$B$6:$B$11,MATCH(E111,Pricing_Analysis!$A$6:$A$11,0))</f>
        <v>390</v>
      </c>
      <c r="Q111" s="39" t="n">
        <f aca="false">I111*P111</f>
        <v>1570140</v>
      </c>
      <c r="R111" s="39" t="n">
        <f aca="false">(I111-J111)*P111</f>
        <v>126360</v>
      </c>
      <c r="S111" s="39" t="n">
        <f aca="false">K111-M111-N111</f>
        <v>448260</v>
      </c>
    </row>
    <row r="112" customFormat="false" ht="15" hidden="false" customHeight="false" outlineLevel="0" collapsed="false">
      <c r="A112" s="89" t="n">
        <v>46204</v>
      </c>
      <c r="B112" s="90" t="n">
        <v>2026</v>
      </c>
      <c r="C112" s="90" t="n">
        <v>7</v>
      </c>
      <c r="D112" s="90" t="s">
        <v>120</v>
      </c>
      <c r="E112" s="90" t="s">
        <v>61</v>
      </c>
      <c r="F112" s="90" t="s">
        <v>235</v>
      </c>
      <c r="G112" s="90" t="n">
        <v>31.7</v>
      </c>
      <c r="H112" s="91" t="n">
        <v>4692</v>
      </c>
      <c r="I112" s="91" t="n">
        <v>3033</v>
      </c>
      <c r="J112" s="91" t="n">
        <v>2809</v>
      </c>
      <c r="K112" s="92" t="n">
        <v>966970</v>
      </c>
      <c r="L112" s="92" t="n">
        <v>1035800</v>
      </c>
      <c r="M112" s="92" t="n">
        <v>510190</v>
      </c>
      <c r="N112" s="92" t="n">
        <v>225720</v>
      </c>
      <c r="O112" s="92" t="n">
        <v>450700</v>
      </c>
      <c r="P112" s="93" t="n">
        <f aca="false">INDEX(Pricing_Analysis!$B$6:$B$11,MATCH(E112,Pricing_Analysis!$A$6:$A$11,0))</f>
        <v>370</v>
      </c>
      <c r="Q112" s="94" t="n">
        <f aca="false">I112*P112</f>
        <v>1122210</v>
      </c>
      <c r="R112" s="94" t="n">
        <f aca="false">(I112-J112)*P112</f>
        <v>82880</v>
      </c>
      <c r="S112" s="94" t="n">
        <f aca="false">K112-M112-N112</f>
        <v>231060</v>
      </c>
    </row>
    <row r="113" customFormat="false" ht="15" hidden="false" customHeight="false" outlineLevel="0" collapsed="false">
      <c r="A113" s="85" t="n">
        <v>46204</v>
      </c>
      <c r="B113" s="86" t="n">
        <v>2026</v>
      </c>
      <c r="C113" s="86" t="n">
        <v>7</v>
      </c>
      <c r="D113" s="86" t="s">
        <v>120</v>
      </c>
      <c r="E113" s="86" t="s">
        <v>62</v>
      </c>
      <c r="F113" s="86" t="s">
        <v>235</v>
      </c>
      <c r="G113" s="86" t="n">
        <v>28</v>
      </c>
      <c r="H113" s="87" t="n">
        <v>4144</v>
      </c>
      <c r="I113" s="87" t="n">
        <v>2571</v>
      </c>
      <c r="J113" s="87" t="n">
        <v>2261</v>
      </c>
      <c r="K113" s="88" t="n">
        <v>697530</v>
      </c>
      <c r="L113" s="88" t="n">
        <v>717400</v>
      </c>
      <c r="M113" s="88" t="n">
        <v>459030</v>
      </c>
      <c r="N113" s="88" t="n">
        <v>140060</v>
      </c>
      <c r="O113" s="88" t="n">
        <v>342300</v>
      </c>
      <c r="P113" s="40" t="n">
        <f aca="false">INDEX(Pricing_Analysis!$B$6:$B$11,MATCH(E113,Pricing_Analysis!$A$6:$A$11,0))</f>
        <v>340</v>
      </c>
      <c r="Q113" s="39" t="n">
        <f aca="false">I113*P113</f>
        <v>874140</v>
      </c>
      <c r="R113" s="39" t="n">
        <f aca="false">(I113-J113)*P113</f>
        <v>105400</v>
      </c>
      <c r="S113" s="39" t="n">
        <f aca="false">K113-M113-N113</f>
        <v>98440</v>
      </c>
    </row>
    <row r="114" customFormat="false" ht="15" hidden="false" customHeight="false" outlineLevel="0" collapsed="false">
      <c r="A114" s="89" t="n">
        <v>46204</v>
      </c>
      <c r="B114" s="90" t="n">
        <v>2026</v>
      </c>
      <c r="C114" s="90" t="n">
        <v>7</v>
      </c>
      <c r="D114" s="90" t="s">
        <v>120</v>
      </c>
      <c r="E114" s="90" t="s">
        <v>63</v>
      </c>
      <c r="F114" s="90" t="s">
        <v>235</v>
      </c>
      <c r="G114" s="90" t="n">
        <v>45</v>
      </c>
      <c r="H114" s="91" t="n">
        <v>6660</v>
      </c>
      <c r="I114" s="91" t="n">
        <v>4743</v>
      </c>
      <c r="J114" s="91" t="n">
        <v>4206</v>
      </c>
      <c r="K114" s="92" t="n">
        <v>1509590</v>
      </c>
      <c r="L114" s="92" t="n">
        <v>1426800</v>
      </c>
      <c r="M114" s="92" t="n">
        <v>683580</v>
      </c>
      <c r="N114" s="92" t="n">
        <v>323670</v>
      </c>
      <c r="O114" s="92" t="n">
        <v>566800</v>
      </c>
      <c r="P114" s="93" t="n">
        <f aca="false">INDEX(Pricing_Analysis!$B$6:$B$11,MATCH(E114,Pricing_Analysis!$A$6:$A$11,0))</f>
        <v>410</v>
      </c>
      <c r="Q114" s="94" t="n">
        <f aca="false">I114*P114</f>
        <v>1944630</v>
      </c>
      <c r="R114" s="94" t="n">
        <f aca="false">(I114-J114)*P114</f>
        <v>220170</v>
      </c>
      <c r="S114" s="94" t="n">
        <f aca="false">K114-M114-N114</f>
        <v>502340</v>
      </c>
    </row>
    <row r="115" customFormat="false" ht="15" hidden="false" customHeight="false" outlineLevel="0" collapsed="false">
      <c r="A115" s="85" t="n">
        <v>46204</v>
      </c>
      <c r="B115" s="86" t="n">
        <v>2026</v>
      </c>
      <c r="C115" s="86" t="n">
        <v>7</v>
      </c>
      <c r="D115" s="86" t="s">
        <v>120</v>
      </c>
      <c r="E115" s="86" t="s">
        <v>64</v>
      </c>
      <c r="F115" s="86" t="s">
        <v>235</v>
      </c>
      <c r="G115" s="86" t="n">
        <v>23.9</v>
      </c>
      <c r="H115" s="87" t="n">
        <v>3537</v>
      </c>
      <c r="I115" s="87" t="n">
        <v>2202</v>
      </c>
      <c r="J115" s="87" t="n">
        <v>2061</v>
      </c>
      <c r="K115" s="88" t="n">
        <v>708590</v>
      </c>
      <c r="L115" s="88" t="n">
        <v>738800</v>
      </c>
      <c r="M115" s="88" t="n">
        <v>397370</v>
      </c>
      <c r="N115" s="88" t="n">
        <v>151040</v>
      </c>
      <c r="O115" s="88" t="n">
        <v>330200</v>
      </c>
      <c r="P115" s="40" t="n">
        <f aca="false">INDEX(Pricing_Analysis!$B$6:$B$11,MATCH(E115,Pricing_Analysis!$A$6:$A$11,0))</f>
        <v>355</v>
      </c>
      <c r="Q115" s="39" t="n">
        <f aca="false">I115*P115</f>
        <v>781710</v>
      </c>
      <c r="R115" s="39" t="n">
        <f aca="false">(I115-J115)*P115</f>
        <v>50055</v>
      </c>
      <c r="S115" s="39" t="n">
        <f aca="false">K115-M115-N115</f>
        <v>160180</v>
      </c>
    </row>
    <row r="116" customFormat="false" ht="15" hidden="false" customHeight="false" outlineLevel="0" collapsed="false">
      <c r="A116" s="89" t="n">
        <v>46204</v>
      </c>
      <c r="B116" s="90" t="n">
        <v>2026</v>
      </c>
      <c r="C116" s="90" t="n">
        <v>7</v>
      </c>
      <c r="D116" s="90" t="s">
        <v>120</v>
      </c>
      <c r="E116" s="90" t="s">
        <v>65</v>
      </c>
      <c r="F116" s="90" t="s">
        <v>235</v>
      </c>
      <c r="G116" s="90" t="n">
        <v>14.9</v>
      </c>
      <c r="H116" s="91" t="n">
        <v>2205</v>
      </c>
      <c r="I116" s="91" t="n">
        <v>1275</v>
      </c>
      <c r="J116" s="91" t="n">
        <v>1098</v>
      </c>
      <c r="K116" s="92" t="n">
        <v>337350</v>
      </c>
      <c r="L116" s="92" t="n">
        <v>363400</v>
      </c>
      <c r="M116" s="92" t="n">
        <v>246770</v>
      </c>
      <c r="N116" s="92" t="n">
        <v>77460</v>
      </c>
      <c r="O116" s="92" t="n">
        <v>189900</v>
      </c>
      <c r="P116" s="93" t="n">
        <f aca="false">INDEX(Pricing_Analysis!$B$6:$B$11,MATCH(E116,Pricing_Analysis!$A$6:$A$11,0))</f>
        <v>330</v>
      </c>
      <c r="Q116" s="94" t="n">
        <f aca="false">I116*P116</f>
        <v>420750</v>
      </c>
      <c r="R116" s="94" t="n">
        <f aca="false">(I116-J116)*P116</f>
        <v>58410</v>
      </c>
      <c r="S116" s="94" t="n">
        <f aca="false">K116-M116-N116</f>
        <v>13120</v>
      </c>
    </row>
    <row r="117" customFormat="false" ht="15" hidden="false" customHeight="false" outlineLevel="0" collapsed="false">
      <c r="A117" s="85" t="n">
        <v>46235</v>
      </c>
      <c r="B117" s="86" t="n">
        <v>2026</v>
      </c>
      <c r="C117" s="86" t="n">
        <v>8</v>
      </c>
      <c r="D117" s="86" t="s">
        <v>121</v>
      </c>
      <c r="E117" s="86" t="s">
        <v>60</v>
      </c>
      <c r="F117" s="86" t="s">
        <v>235</v>
      </c>
      <c r="G117" s="86" t="n">
        <v>40.1</v>
      </c>
      <c r="H117" s="87" t="n">
        <v>5519</v>
      </c>
      <c r="I117" s="87" t="n">
        <v>3228</v>
      </c>
      <c r="J117" s="87" t="n">
        <v>2963</v>
      </c>
      <c r="K117" s="88" t="n">
        <v>1107720</v>
      </c>
      <c r="L117" s="88" t="n">
        <v>1037900</v>
      </c>
      <c r="M117" s="88" t="n">
        <v>630090</v>
      </c>
      <c r="N117" s="88" t="n">
        <v>244320</v>
      </c>
      <c r="O117" s="88" t="n">
        <v>693400</v>
      </c>
      <c r="P117" s="40" t="n">
        <f aca="false">INDEX(Pricing_Analysis!$B$6:$B$11,MATCH(E117,Pricing_Analysis!$A$6:$A$11,0))</f>
        <v>390</v>
      </c>
      <c r="Q117" s="39" t="n">
        <f aca="false">I117*P117</f>
        <v>1258920</v>
      </c>
      <c r="R117" s="39" t="n">
        <f aca="false">(I117-J117)*P117</f>
        <v>103350</v>
      </c>
      <c r="S117" s="39" t="n">
        <f aca="false">K117-M117-N117</f>
        <v>233310</v>
      </c>
    </row>
    <row r="118" customFormat="false" ht="15" hidden="false" customHeight="false" outlineLevel="0" collapsed="false">
      <c r="A118" s="89" t="n">
        <v>46235</v>
      </c>
      <c r="B118" s="90" t="n">
        <v>2026</v>
      </c>
      <c r="C118" s="90" t="n">
        <v>8</v>
      </c>
      <c r="D118" s="90" t="s">
        <v>121</v>
      </c>
      <c r="E118" s="90" t="s">
        <v>61</v>
      </c>
      <c r="F118" s="90" t="s">
        <v>235</v>
      </c>
      <c r="G118" s="90" t="n">
        <v>32.4</v>
      </c>
      <c r="H118" s="91" t="n">
        <v>4460</v>
      </c>
      <c r="I118" s="91" t="n">
        <v>2607</v>
      </c>
      <c r="J118" s="91" t="n">
        <v>2345</v>
      </c>
      <c r="K118" s="92" t="n">
        <v>828630</v>
      </c>
      <c r="L118" s="92" t="n">
        <v>882100</v>
      </c>
      <c r="M118" s="92" t="n">
        <v>520490</v>
      </c>
      <c r="N118" s="92" t="n">
        <v>174970</v>
      </c>
      <c r="O118" s="92" t="n">
        <v>435200</v>
      </c>
      <c r="P118" s="93" t="n">
        <f aca="false">INDEX(Pricing_Analysis!$B$6:$B$11,MATCH(E118,Pricing_Analysis!$A$6:$A$11,0))</f>
        <v>370</v>
      </c>
      <c r="Q118" s="94" t="n">
        <f aca="false">I118*P118</f>
        <v>964590</v>
      </c>
      <c r="R118" s="94" t="n">
        <f aca="false">(I118-J118)*P118</f>
        <v>96940</v>
      </c>
      <c r="S118" s="94" t="n">
        <f aca="false">K118-M118-N118</f>
        <v>133170</v>
      </c>
    </row>
    <row r="119" customFormat="false" ht="15" hidden="false" customHeight="false" outlineLevel="0" collapsed="false">
      <c r="A119" s="85" t="n">
        <v>46235</v>
      </c>
      <c r="B119" s="86" t="n">
        <v>2026</v>
      </c>
      <c r="C119" s="86" t="n">
        <v>8</v>
      </c>
      <c r="D119" s="86" t="s">
        <v>121</v>
      </c>
      <c r="E119" s="86" t="s">
        <v>62</v>
      </c>
      <c r="F119" s="86" t="s">
        <v>235</v>
      </c>
      <c r="G119" s="86" t="n">
        <v>27.5</v>
      </c>
      <c r="H119" s="87" t="n">
        <v>3785</v>
      </c>
      <c r="I119" s="87" t="n">
        <v>2169</v>
      </c>
      <c r="J119" s="87" t="n">
        <v>1990</v>
      </c>
      <c r="K119" s="88" t="n">
        <v>629840</v>
      </c>
      <c r="L119" s="88" t="n">
        <v>651500</v>
      </c>
      <c r="M119" s="88" t="n">
        <v>458040</v>
      </c>
      <c r="N119" s="88" t="n">
        <v>127120</v>
      </c>
      <c r="O119" s="88" t="n">
        <v>428700</v>
      </c>
      <c r="P119" s="40" t="n">
        <f aca="false">INDEX(Pricing_Analysis!$B$6:$B$11,MATCH(E119,Pricing_Analysis!$A$6:$A$11,0))</f>
        <v>340</v>
      </c>
      <c r="Q119" s="39" t="n">
        <f aca="false">I119*P119</f>
        <v>737460</v>
      </c>
      <c r="R119" s="39" t="n">
        <f aca="false">(I119-J119)*P119</f>
        <v>60860</v>
      </c>
      <c r="S119" s="39" t="n">
        <f aca="false">K119-M119-N119</f>
        <v>44680</v>
      </c>
    </row>
    <row r="120" customFormat="false" ht="15" hidden="false" customHeight="false" outlineLevel="0" collapsed="false">
      <c r="A120" s="89" t="n">
        <v>46235</v>
      </c>
      <c r="B120" s="90" t="n">
        <v>2026</v>
      </c>
      <c r="C120" s="90" t="n">
        <v>8</v>
      </c>
      <c r="D120" s="90" t="s">
        <v>121</v>
      </c>
      <c r="E120" s="90" t="s">
        <v>63</v>
      </c>
      <c r="F120" s="90" t="s">
        <v>235</v>
      </c>
      <c r="G120" s="90" t="n">
        <v>44.9</v>
      </c>
      <c r="H120" s="91" t="n">
        <v>6180</v>
      </c>
      <c r="I120" s="91" t="n">
        <v>3668</v>
      </c>
      <c r="J120" s="91" t="n">
        <v>3252</v>
      </c>
      <c r="K120" s="92" t="n">
        <v>1168470</v>
      </c>
      <c r="L120" s="92" t="n">
        <v>1182800</v>
      </c>
      <c r="M120" s="92" t="n">
        <v>735060</v>
      </c>
      <c r="N120" s="92" t="n">
        <v>245090</v>
      </c>
      <c r="O120" s="92" t="n">
        <v>788900</v>
      </c>
      <c r="P120" s="93" t="n">
        <f aca="false">INDEX(Pricing_Analysis!$B$6:$B$11,MATCH(E120,Pricing_Analysis!$A$6:$A$11,0))</f>
        <v>410</v>
      </c>
      <c r="Q120" s="94" t="n">
        <f aca="false">I120*P120</f>
        <v>1503880</v>
      </c>
      <c r="R120" s="94" t="n">
        <f aca="false">(I120-J120)*P120</f>
        <v>170560</v>
      </c>
      <c r="S120" s="94" t="n">
        <f aca="false">K120-M120-N120</f>
        <v>188320</v>
      </c>
    </row>
    <row r="121" customFormat="false" ht="15" hidden="false" customHeight="false" outlineLevel="0" collapsed="false">
      <c r="A121" s="85" t="n">
        <v>46235</v>
      </c>
      <c r="B121" s="86" t="n">
        <v>2026</v>
      </c>
      <c r="C121" s="86" t="n">
        <v>8</v>
      </c>
      <c r="D121" s="86" t="s">
        <v>121</v>
      </c>
      <c r="E121" s="86" t="s">
        <v>64</v>
      </c>
      <c r="F121" s="86" t="s">
        <v>235</v>
      </c>
      <c r="G121" s="86" t="n">
        <v>23.5</v>
      </c>
      <c r="H121" s="87" t="n">
        <v>3235</v>
      </c>
      <c r="I121" s="87" t="n">
        <v>1753</v>
      </c>
      <c r="J121" s="87" t="n">
        <v>1609</v>
      </c>
      <c r="K121" s="88" t="n">
        <v>563930</v>
      </c>
      <c r="L121" s="88" t="n">
        <v>531100</v>
      </c>
      <c r="M121" s="88" t="n">
        <v>394740</v>
      </c>
      <c r="N121" s="88" t="n">
        <v>125530</v>
      </c>
      <c r="O121" s="88" t="n">
        <v>308000</v>
      </c>
      <c r="P121" s="40" t="n">
        <f aca="false">INDEX(Pricing_Analysis!$B$6:$B$11,MATCH(E121,Pricing_Analysis!$A$6:$A$11,0))</f>
        <v>355</v>
      </c>
      <c r="Q121" s="39" t="n">
        <f aca="false">I121*P121</f>
        <v>622315</v>
      </c>
      <c r="R121" s="39" t="n">
        <f aca="false">(I121-J121)*P121</f>
        <v>51120</v>
      </c>
      <c r="S121" s="39" t="n">
        <f aca="false">K121-M121-N121</f>
        <v>43660</v>
      </c>
    </row>
    <row r="122" customFormat="false" ht="15" hidden="false" customHeight="false" outlineLevel="0" collapsed="false">
      <c r="A122" s="89" t="n">
        <v>46235</v>
      </c>
      <c r="B122" s="90" t="n">
        <v>2026</v>
      </c>
      <c r="C122" s="90" t="n">
        <v>8</v>
      </c>
      <c r="D122" s="90" t="s">
        <v>121</v>
      </c>
      <c r="E122" s="90" t="s">
        <v>65</v>
      </c>
      <c r="F122" s="90" t="s">
        <v>235</v>
      </c>
      <c r="G122" s="90" t="n">
        <v>15.2</v>
      </c>
      <c r="H122" s="91" t="n">
        <v>2092</v>
      </c>
      <c r="I122" s="91" t="n">
        <v>1077</v>
      </c>
      <c r="J122" s="91" t="n">
        <v>951</v>
      </c>
      <c r="K122" s="92" t="n">
        <v>297250</v>
      </c>
      <c r="L122" s="92" t="n">
        <v>312400</v>
      </c>
      <c r="M122" s="92" t="n">
        <v>245850</v>
      </c>
      <c r="N122" s="92" t="n">
        <v>58670</v>
      </c>
      <c r="O122" s="92" t="n">
        <v>189800</v>
      </c>
      <c r="P122" s="93" t="n">
        <f aca="false">INDEX(Pricing_Analysis!$B$6:$B$11,MATCH(E122,Pricing_Analysis!$A$6:$A$11,0))</f>
        <v>330</v>
      </c>
      <c r="Q122" s="94" t="n">
        <f aca="false">I122*P122</f>
        <v>355410</v>
      </c>
      <c r="R122" s="94" t="n">
        <f aca="false">(I122-J122)*P122</f>
        <v>41580</v>
      </c>
      <c r="S122" s="94" t="n">
        <f aca="false">K122-M122-N122</f>
        <v>-7270</v>
      </c>
    </row>
    <row r="123" customFormat="false" ht="15" hidden="false" customHeight="false" outlineLevel="0" collapsed="false">
      <c r="A123" s="85" t="n">
        <v>46266</v>
      </c>
      <c r="B123" s="86" t="n">
        <v>2026</v>
      </c>
      <c r="C123" s="86" t="n">
        <v>9</v>
      </c>
      <c r="D123" s="86" t="s">
        <v>122</v>
      </c>
      <c r="E123" s="86" t="s">
        <v>60</v>
      </c>
      <c r="F123" s="86" t="s">
        <v>235</v>
      </c>
      <c r="G123" s="86" t="n">
        <v>40.5</v>
      </c>
      <c r="H123" s="87" t="n">
        <v>5994</v>
      </c>
      <c r="I123" s="87" t="n">
        <v>4580</v>
      </c>
      <c r="J123" s="87" t="n">
        <v>4183</v>
      </c>
      <c r="K123" s="88" t="n">
        <v>1556640</v>
      </c>
      <c r="L123" s="88" t="n">
        <v>1639000</v>
      </c>
      <c r="M123" s="88" t="n">
        <v>620350</v>
      </c>
      <c r="N123" s="88" t="n">
        <v>346930</v>
      </c>
      <c r="O123" s="88" t="n">
        <v>586400</v>
      </c>
      <c r="P123" s="40" t="n">
        <f aca="false">INDEX(Pricing_Analysis!$B$6:$B$11,MATCH(E123,Pricing_Analysis!$A$6:$A$11,0))</f>
        <v>390</v>
      </c>
      <c r="Q123" s="39" t="n">
        <f aca="false">I123*P123</f>
        <v>1786200</v>
      </c>
      <c r="R123" s="39" t="n">
        <f aca="false">(I123-J123)*P123</f>
        <v>154830</v>
      </c>
      <c r="S123" s="39" t="n">
        <f aca="false">K123-M123-N123</f>
        <v>589360</v>
      </c>
    </row>
    <row r="124" customFormat="false" ht="15" hidden="false" customHeight="false" outlineLevel="0" collapsed="false">
      <c r="A124" s="89" t="n">
        <v>46266</v>
      </c>
      <c r="B124" s="90" t="n">
        <v>2026</v>
      </c>
      <c r="C124" s="90" t="n">
        <v>9</v>
      </c>
      <c r="D124" s="90" t="s">
        <v>122</v>
      </c>
      <c r="E124" s="90" t="s">
        <v>61</v>
      </c>
      <c r="F124" s="90" t="s">
        <v>235</v>
      </c>
      <c r="G124" s="90" t="n">
        <v>31.8</v>
      </c>
      <c r="H124" s="91" t="n">
        <v>4706</v>
      </c>
      <c r="I124" s="91" t="n">
        <v>3253</v>
      </c>
      <c r="J124" s="91" t="n">
        <v>3051</v>
      </c>
      <c r="K124" s="92" t="n">
        <v>1089120</v>
      </c>
      <c r="L124" s="92" t="n">
        <v>1116700</v>
      </c>
      <c r="M124" s="92" t="n">
        <v>495090</v>
      </c>
      <c r="N124" s="92" t="n">
        <v>250800</v>
      </c>
      <c r="O124" s="92" t="n">
        <v>662400</v>
      </c>
      <c r="P124" s="93" t="n">
        <f aca="false">INDEX(Pricing_Analysis!$B$6:$B$11,MATCH(E124,Pricing_Analysis!$A$6:$A$11,0))</f>
        <v>370</v>
      </c>
      <c r="Q124" s="94" t="n">
        <f aca="false">I124*P124</f>
        <v>1203610</v>
      </c>
      <c r="R124" s="94" t="n">
        <f aca="false">(I124-J124)*P124</f>
        <v>74740</v>
      </c>
      <c r="S124" s="94" t="n">
        <f aca="false">K124-M124-N124</f>
        <v>343230</v>
      </c>
    </row>
    <row r="125" customFormat="false" ht="15" hidden="false" customHeight="false" outlineLevel="0" collapsed="false">
      <c r="A125" s="85" t="n">
        <v>46266</v>
      </c>
      <c r="B125" s="86" t="n">
        <v>2026</v>
      </c>
      <c r="C125" s="86" t="n">
        <v>9</v>
      </c>
      <c r="D125" s="86" t="s">
        <v>122</v>
      </c>
      <c r="E125" s="86" t="s">
        <v>62</v>
      </c>
      <c r="F125" s="86" t="s">
        <v>235</v>
      </c>
      <c r="G125" s="86" t="n">
        <v>27.9</v>
      </c>
      <c r="H125" s="87" t="n">
        <v>4129</v>
      </c>
      <c r="I125" s="87" t="n">
        <v>2888</v>
      </c>
      <c r="J125" s="87" t="n">
        <v>2626</v>
      </c>
      <c r="K125" s="88" t="n">
        <v>806250</v>
      </c>
      <c r="L125" s="88" t="n">
        <v>767500</v>
      </c>
      <c r="M125" s="88" t="n">
        <v>443590</v>
      </c>
      <c r="N125" s="88" t="n">
        <v>160100</v>
      </c>
      <c r="O125" s="88" t="n">
        <v>391200</v>
      </c>
      <c r="P125" s="40" t="n">
        <f aca="false">INDEX(Pricing_Analysis!$B$6:$B$11,MATCH(E125,Pricing_Analysis!$A$6:$A$11,0))</f>
        <v>340</v>
      </c>
      <c r="Q125" s="39" t="n">
        <f aca="false">I125*P125</f>
        <v>981920</v>
      </c>
      <c r="R125" s="39" t="n">
        <f aca="false">(I125-J125)*P125</f>
        <v>89080</v>
      </c>
      <c r="S125" s="39" t="n">
        <f aca="false">K125-M125-N125</f>
        <v>202560</v>
      </c>
    </row>
    <row r="126" customFormat="false" ht="15" hidden="false" customHeight="false" outlineLevel="0" collapsed="false">
      <c r="A126" s="89" t="n">
        <v>46266</v>
      </c>
      <c r="B126" s="90" t="n">
        <v>2026</v>
      </c>
      <c r="C126" s="90" t="n">
        <v>9</v>
      </c>
      <c r="D126" s="90" t="s">
        <v>122</v>
      </c>
      <c r="E126" s="90" t="s">
        <v>63</v>
      </c>
      <c r="F126" s="90" t="s">
        <v>235</v>
      </c>
      <c r="G126" s="90" t="n">
        <v>45</v>
      </c>
      <c r="H126" s="91" t="n">
        <v>6660</v>
      </c>
      <c r="I126" s="91" t="n">
        <v>4871</v>
      </c>
      <c r="J126" s="91" t="n">
        <v>4415</v>
      </c>
      <c r="K126" s="92" t="n">
        <v>1588190</v>
      </c>
      <c r="L126" s="92" t="n">
        <v>1605500</v>
      </c>
      <c r="M126" s="92" t="n">
        <v>702860</v>
      </c>
      <c r="N126" s="92" t="n">
        <v>362910</v>
      </c>
      <c r="O126" s="92" t="n">
        <v>576900</v>
      </c>
      <c r="P126" s="93" t="n">
        <f aca="false">INDEX(Pricing_Analysis!$B$6:$B$11,MATCH(E126,Pricing_Analysis!$A$6:$A$11,0))</f>
        <v>410</v>
      </c>
      <c r="Q126" s="94" t="n">
        <f aca="false">I126*P126</f>
        <v>1997110</v>
      </c>
      <c r="R126" s="94" t="n">
        <f aca="false">(I126-J126)*P126</f>
        <v>186960</v>
      </c>
      <c r="S126" s="94" t="n">
        <f aca="false">K126-M126-N126</f>
        <v>522420</v>
      </c>
    </row>
    <row r="127" customFormat="false" ht="15" hidden="false" customHeight="false" outlineLevel="0" collapsed="false">
      <c r="A127" s="85" t="n">
        <v>46266</v>
      </c>
      <c r="B127" s="86" t="n">
        <v>2026</v>
      </c>
      <c r="C127" s="86" t="n">
        <v>9</v>
      </c>
      <c r="D127" s="86" t="s">
        <v>122</v>
      </c>
      <c r="E127" s="86" t="s">
        <v>64</v>
      </c>
      <c r="F127" s="86" t="s">
        <v>235</v>
      </c>
      <c r="G127" s="86" t="n">
        <v>23.9</v>
      </c>
      <c r="H127" s="87" t="n">
        <v>3537</v>
      </c>
      <c r="I127" s="87" t="n">
        <v>2292</v>
      </c>
      <c r="J127" s="87" t="n">
        <v>2193</v>
      </c>
      <c r="K127" s="88" t="n">
        <v>751860</v>
      </c>
      <c r="L127" s="88" t="n">
        <v>748200</v>
      </c>
      <c r="M127" s="88" t="n">
        <v>377200</v>
      </c>
      <c r="N127" s="88" t="n">
        <v>170990</v>
      </c>
      <c r="O127" s="88" t="n">
        <v>444500</v>
      </c>
      <c r="P127" s="40" t="n">
        <f aca="false">INDEX(Pricing_Analysis!$B$6:$B$11,MATCH(E127,Pricing_Analysis!$A$6:$A$11,0))</f>
        <v>355</v>
      </c>
      <c r="Q127" s="39" t="n">
        <f aca="false">I127*P127</f>
        <v>813660</v>
      </c>
      <c r="R127" s="39" t="n">
        <f aca="false">(I127-J127)*P127</f>
        <v>35145</v>
      </c>
      <c r="S127" s="39" t="n">
        <f aca="false">K127-M127-N127</f>
        <v>203670</v>
      </c>
    </row>
    <row r="128" customFormat="false" ht="15" hidden="false" customHeight="false" outlineLevel="0" collapsed="false">
      <c r="A128" s="89" t="n">
        <v>46266</v>
      </c>
      <c r="B128" s="90" t="n">
        <v>2026</v>
      </c>
      <c r="C128" s="90" t="n">
        <v>9</v>
      </c>
      <c r="D128" s="90" t="s">
        <v>122</v>
      </c>
      <c r="E128" s="90" t="s">
        <v>65</v>
      </c>
      <c r="F128" s="90" t="s">
        <v>235</v>
      </c>
      <c r="G128" s="90" t="n">
        <v>15.5</v>
      </c>
      <c r="H128" s="91" t="n">
        <v>2294</v>
      </c>
      <c r="I128" s="91" t="n">
        <v>1531</v>
      </c>
      <c r="J128" s="91" t="n">
        <v>1324</v>
      </c>
      <c r="K128" s="92" t="n">
        <v>413900</v>
      </c>
      <c r="L128" s="92" t="n">
        <v>436300</v>
      </c>
      <c r="M128" s="92" t="n">
        <v>258790</v>
      </c>
      <c r="N128" s="92" t="n">
        <v>88800</v>
      </c>
      <c r="O128" s="92" t="n">
        <v>207700</v>
      </c>
      <c r="P128" s="93" t="n">
        <f aca="false">INDEX(Pricing_Analysis!$B$6:$B$11,MATCH(E128,Pricing_Analysis!$A$6:$A$11,0))</f>
        <v>330</v>
      </c>
      <c r="Q128" s="94" t="n">
        <f aca="false">I128*P128</f>
        <v>505230</v>
      </c>
      <c r="R128" s="94" t="n">
        <f aca="false">(I128-J128)*P128</f>
        <v>68310</v>
      </c>
      <c r="S128" s="94" t="n">
        <f aca="false">K128-M128-N128</f>
        <v>66310</v>
      </c>
    </row>
    <row r="129" customFormat="false" ht="15" hidden="false" customHeight="false" outlineLevel="0" collapsed="false">
      <c r="A129" s="85" t="n">
        <v>46296</v>
      </c>
      <c r="B129" s="86" t="n">
        <v>2026</v>
      </c>
      <c r="C129" s="86" t="n">
        <v>10</v>
      </c>
      <c r="D129" s="86" t="s">
        <v>123</v>
      </c>
      <c r="E129" s="86" t="s">
        <v>60</v>
      </c>
      <c r="F129" s="86" t="s">
        <v>236</v>
      </c>
      <c r="G129" s="86" t="n">
        <v>40.9</v>
      </c>
      <c r="H129" s="87" t="n">
        <v>5932</v>
      </c>
      <c r="I129" s="87" t="n">
        <v>4666</v>
      </c>
      <c r="J129" s="87" t="n">
        <v>4323</v>
      </c>
      <c r="K129" s="88" t="n">
        <v>1604070</v>
      </c>
      <c r="L129" s="88" t="n">
        <v>1586700</v>
      </c>
      <c r="M129" s="88" t="n">
        <v>687030</v>
      </c>
      <c r="N129" s="88" t="n">
        <v>335640</v>
      </c>
      <c r="O129" s="88" t="n">
        <v>592100</v>
      </c>
      <c r="P129" s="40" t="n">
        <f aca="false">INDEX(Pricing_Analysis!$B$6:$B$11,MATCH(E129,Pricing_Analysis!$A$6:$A$11,0))</f>
        <v>390</v>
      </c>
      <c r="Q129" s="39" t="n">
        <f aca="false">I129*P129</f>
        <v>1819740</v>
      </c>
      <c r="R129" s="39" t="n">
        <f aca="false">(I129-J129)*P129</f>
        <v>133770</v>
      </c>
      <c r="S129" s="39" t="n">
        <f aca="false">K129-M129-N129</f>
        <v>581400</v>
      </c>
    </row>
    <row r="130" customFormat="false" ht="15" hidden="false" customHeight="false" outlineLevel="0" collapsed="false">
      <c r="A130" s="89" t="n">
        <v>46296</v>
      </c>
      <c r="B130" s="90" t="n">
        <v>2026</v>
      </c>
      <c r="C130" s="90" t="n">
        <v>10</v>
      </c>
      <c r="D130" s="90" t="s">
        <v>123</v>
      </c>
      <c r="E130" s="90" t="s">
        <v>61</v>
      </c>
      <c r="F130" s="90" t="s">
        <v>236</v>
      </c>
      <c r="G130" s="90" t="n">
        <v>32.6</v>
      </c>
      <c r="H130" s="91" t="n">
        <v>4728</v>
      </c>
      <c r="I130" s="91" t="n">
        <v>3611</v>
      </c>
      <c r="J130" s="91" t="n">
        <v>3344</v>
      </c>
      <c r="K130" s="92" t="n">
        <v>1169850</v>
      </c>
      <c r="L130" s="92" t="n">
        <v>1217000</v>
      </c>
      <c r="M130" s="92" t="n">
        <v>507350</v>
      </c>
      <c r="N130" s="92" t="n">
        <v>263930</v>
      </c>
      <c r="O130" s="92" t="n">
        <v>438000</v>
      </c>
      <c r="P130" s="93" t="n">
        <f aca="false">INDEX(Pricing_Analysis!$B$6:$B$11,MATCH(E130,Pricing_Analysis!$A$6:$A$11,0))</f>
        <v>370</v>
      </c>
      <c r="Q130" s="94" t="n">
        <f aca="false">I130*P130</f>
        <v>1336070</v>
      </c>
      <c r="R130" s="94" t="n">
        <f aca="false">(I130-J130)*P130</f>
        <v>98790</v>
      </c>
      <c r="S130" s="94" t="n">
        <f aca="false">K130-M130-N130</f>
        <v>398570</v>
      </c>
    </row>
    <row r="131" customFormat="false" ht="15" hidden="false" customHeight="false" outlineLevel="0" collapsed="false">
      <c r="A131" s="85" t="n">
        <v>46296</v>
      </c>
      <c r="B131" s="86" t="n">
        <v>2026</v>
      </c>
      <c r="C131" s="86" t="n">
        <v>10</v>
      </c>
      <c r="D131" s="86" t="s">
        <v>123</v>
      </c>
      <c r="E131" s="86" t="s">
        <v>62</v>
      </c>
      <c r="F131" s="86" t="s">
        <v>236</v>
      </c>
      <c r="G131" s="86" t="n">
        <v>27.8</v>
      </c>
      <c r="H131" s="87" t="n">
        <v>4032</v>
      </c>
      <c r="I131" s="87" t="n">
        <v>2859</v>
      </c>
      <c r="J131" s="87" t="n">
        <v>2561</v>
      </c>
      <c r="K131" s="88" t="n">
        <v>804770</v>
      </c>
      <c r="L131" s="88" t="n">
        <v>747100</v>
      </c>
      <c r="M131" s="88" t="n">
        <v>454990</v>
      </c>
      <c r="N131" s="88" t="n">
        <v>178320</v>
      </c>
      <c r="O131" s="88" t="n">
        <v>349000</v>
      </c>
      <c r="P131" s="40" t="n">
        <f aca="false">INDEX(Pricing_Analysis!$B$6:$B$11,MATCH(E131,Pricing_Analysis!$A$6:$A$11,0))</f>
        <v>340</v>
      </c>
      <c r="Q131" s="39" t="n">
        <f aca="false">I131*P131</f>
        <v>972060</v>
      </c>
      <c r="R131" s="39" t="n">
        <f aca="false">(I131-J131)*P131</f>
        <v>101320</v>
      </c>
      <c r="S131" s="39" t="n">
        <f aca="false">K131-M131-N131</f>
        <v>171460</v>
      </c>
    </row>
    <row r="132" customFormat="false" ht="15" hidden="false" customHeight="false" outlineLevel="0" collapsed="false">
      <c r="A132" s="89" t="n">
        <v>46296</v>
      </c>
      <c r="B132" s="90" t="n">
        <v>2026</v>
      </c>
      <c r="C132" s="90" t="n">
        <v>10</v>
      </c>
      <c r="D132" s="90" t="s">
        <v>123</v>
      </c>
      <c r="E132" s="90" t="s">
        <v>63</v>
      </c>
      <c r="F132" s="90" t="s">
        <v>236</v>
      </c>
      <c r="G132" s="90" t="n">
        <v>44.9</v>
      </c>
      <c r="H132" s="91" t="n">
        <v>6512</v>
      </c>
      <c r="I132" s="91" t="n">
        <v>5011</v>
      </c>
      <c r="J132" s="91" t="n">
        <v>4477</v>
      </c>
      <c r="K132" s="92" t="n">
        <v>1591360</v>
      </c>
      <c r="L132" s="92" t="n">
        <v>1696100</v>
      </c>
      <c r="M132" s="92" t="n">
        <v>759970</v>
      </c>
      <c r="N132" s="92" t="n">
        <v>365920</v>
      </c>
      <c r="O132" s="92" t="n">
        <v>1039600</v>
      </c>
      <c r="P132" s="93" t="n">
        <f aca="false">INDEX(Pricing_Analysis!$B$6:$B$11,MATCH(E132,Pricing_Analysis!$A$6:$A$11,0))</f>
        <v>410</v>
      </c>
      <c r="Q132" s="94" t="n">
        <f aca="false">I132*P132</f>
        <v>2054510</v>
      </c>
      <c r="R132" s="94" t="n">
        <f aca="false">(I132-J132)*P132</f>
        <v>218940</v>
      </c>
      <c r="S132" s="94" t="n">
        <f aca="false">K132-M132-N132</f>
        <v>465470</v>
      </c>
    </row>
    <row r="133" customFormat="false" ht="15" hidden="false" customHeight="false" outlineLevel="0" collapsed="false">
      <c r="A133" s="85" t="n">
        <v>46296</v>
      </c>
      <c r="B133" s="86" t="n">
        <v>2026</v>
      </c>
      <c r="C133" s="86" t="n">
        <v>10</v>
      </c>
      <c r="D133" s="86" t="s">
        <v>123</v>
      </c>
      <c r="E133" s="86" t="s">
        <v>64</v>
      </c>
      <c r="F133" s="86" t="s">
        <v>236</v>
      </c>
      <c r="G133" s="86" t="n">
        <v>23.8</v>
      </c>
      <c r="H133" s="87" t="n">
        <v>3452</v>
      </c>
      <c r="I133" s="87" t="n">
        <v>2459</v>
      </c>
      <c r="J133" s="87" t="n">
        <v>2268</v>
      </c>
      <c r="K133" s="88" t="n">
        <v>784370</v>
      </c>
      <c r="L133" s="88" t="n">
        <v>792800</v>
      </c>
      <c r="M133" s="88" t="n">
        <v>399750</v>
      </c>
      <c r="N133" s="88" t="n">
        <v>153670</v>
      </c>
      <c r="O133" s="88" t="n">
        <v>492100</v>
      </c>
      <c r="P133" s="40" t="n">
        <f aca="false">INDEX(Pricing_Analysis!$B$6:$B$11,MATCH(E133,Pricing_Analysis!$A$6:$A$11,0))</f>
        <v>355</v>
      </c>
      <c r="Q133" s="39" t="n">
        <f aca="false">I133*P133</f>
        <v>872945</v>
      </c>
      <c r="R133" s="39" t="n">
        <f aca="false">(I133-J133)*P133</f>
        <v>67805</v>
      </c>
      <c r="S133" s="39" t="n">
        <f aca="false">K133-M133-N133</f>
        <v>230950</v>
      </c>
    </row>
    <row r="134" customFormat="false" ht="15" hidden="false" customHeight="false" outlineLevel="0" collapsed="false">
      <c r="A134" s="89" t="n">
        <v>46296</v>
      </c>
      <c r="B134" s="90" t="n">
        <v>2026</v>
      </c>
      <c r="C134" s="90" t="n">
        <v>10</v>
      </c>
      <c r="D134" s="90" t="s">
        <v>123</v>
      </c>
      <c r="E134" s="90" t="s">
        <v>65</v>
      </c>
      <c r="F134" s="90" t="s">
        <v>236</v>
      </c>
      <c r="G134" s="90" t="n">
        <v>15.1</v>
      </c>
      <c r="H134" s="91" t="n">
        <v>2190</v>
      </c>
      <c r="I134" s="91" t="n">
        <v>1472</v>
      </c>
      <c r="J134" s="91" t="n">
        <v>1303</v>
      </c>
      <c r="K134" s="92" t="n">
        <v>383740</v>
      </c>
      <c r="L134" s="92" t="n">
        <v>368000</v>
      </c>
      <c r="M134" s="92" t="n">
        <v>234830</v>
      </c>
      <c r="N134" s="92" t="n">
        <v>80390</v>
      </c>
      <c r="O134" s="92" t="n">
        <v>142700</v>
      </c>
      <c r="P134" s="93" t="n">
        <f aca="false">INDEX(Pricing_Analysis!$B$6:$B$11,MATCH(E134,Pricing_Analysis!$A$6:$A$11,0))</f>
        <v>330</v>
      </c>
      <c r="Q134" s="94" t="n">
        <f aca="false">I134*P134</f>
        <v>485760</v>
      </c>
      <c r="R134" s="94" t="n">
        <f aca="false">(I134-J134)*P134</f>
        <v>55770</v>
      </c>
      <c r="S134" s="94" t="n">
        <f aca="false">K134-M134-N134</f>
        <v>68520</v>
      </c>
    </row>
    <row r="135" customFormat="false" ht="15" hidden="false" customHeight="false" outlineLevel="0" collapsed="false">
      <c r="A135" s="85" t="n">
        <v>46327</v>
      </c>
      <c r="B135" s="86" t="n">
        <v>2026</v>
      </c>
      <c r="C135" s="86" t="n">
        <v>11</v>
      </c>
      <c r="D135" s="86" t="s">
        <v>124</v>
      </c>
      <c r="E135" s="86" t="s">
        <v>60</v>
      </c>
      <c r="F135" s="86" t="s">
        <v>236</v>
      </c>
      <c r="G135" s="86" t="n">
        <v>41.4</v>
      </c>
      <c r="H135" s="87" t="n">
        <v>6127</v>
      </c>
      <c r="I135" s="87" t="n">
        <v>4867</v>
      </c>
      <c r="J135" s="87" t="n">
        <v>4480</v>
      </c>
      <c r="K135" s="88" t="n">
        <v>1645550</v>
      </c>
      <c r="L135" s="88" t="n">
        <v>1668100</v>
      </c>
      <c r="M135" s="88" t="n">
        <v>622220</v>
      </c>
      <c r="N135" s="88" t="n">
        <v>315730</v>
      </c>
      <c r="O135" s="88" t="n">
        <v>1093400</v>
      </c>
      <c r="P135" s="40" t="n">
        <f aca="false">INDEX(Pricing_Analysis!$B$6:$B$11,MATCH(E135,Pricing_Analysis!$A$6:$A$11,0))</f>
        <v>390</v>
      </c>
      <c r="Q135" s="39" t="n">
        <f aca="false">I135*P135</f>
        <v>1898130</v>
      </c>
      <c r="R135" s="39" t="n">
        <f aca="false">(I135-J135)*P135</f>
        <v>150930</v>
      </c>
      <c r="S135" s="39" t="n">
        <f aca="false">K135-M135-N135</f>
        <v>707600</v>
      </c>
    </row>
    <row r="136" customFormat="false" ht="15" hidden="false" customHeight="false" outlineLevel="0" collapsed="false">
      <c r="A136" s="89" t="n">
        <v>46327</v>
      </c>
      <c r="B136" s="90" t="n">
        <v>2026</v>
      </c>
      <c r="C136" s="90" t="n">
        <v>11</v>
      </c>
      <c r="D136" s="90" t="s">
        <v>124</v>
      </c>
      <c r="E136" s="90" t="s">
        <v>61</v>
      </c>
      <c r="F136" s="90" t="s">
        <v>236</v>
      </c>
      <c r="G136" s="90" t="n">
        <v>32.4</v>
      </c>
      <c r="H136" s="91" t="n">
        <v>4795</v>
      </c>
      <c r="I136" s="91" t="n">
        <v>3586</v>
      </c>
      <c r="J136" s="91" t="n">
        <v>3354</v>
      </c>
      <c r="K136" s="92" t="n">
        <v>1199930</v>
      </c>
      <c r="L136" s="92" t="n">
        <v>1194700</v>
      </c>
      <c r="M136" s="92" t="n">
        <v>497680</v>
      </c>
      <c r="N136" s="92" t="n">
        <v>249250</v>
      </c>
      <c r="O136" s="92" t="n">
        <v>807500</v>
      </c>
      <c r="P136" s="93" t="n">
        <f aca="false">INDEX(Pricing_Analysis!$B$6:$B$11,MATCH(E136,Pricing_Analysis!$A$6:$A$11,0))</f>
        <v>370</v>
      </c>
      <c r="Q136" s="94" t="n">
        <f aca="false">I136*P136</f>
        <v>1326820</v>
      </c>
      <c r="R136" s="94" t="n">
        <f aca="false">(I136-J136)*P136</f>
        <v>85840</v>
      </c>
      <c r="S136" s="94" t="n">
        <f aca="false">K136-M136-N136</f>
        <v>453000</v>
      </c>
    </row>
    <row r="137" customFormat="false" ht="15" hidden="false" customHeight="false" outlineLevel="0" collapsed="false">
      <c r="A137" s="85" t="n">
        <v>46327</v>
      </c>
      <c r="B137" s="86" t="n">
        <v>2026</v>
      </c>
      <c r="C137" s="86" t="n">
        <v>11</v>
      </c>
      <c r="D137" s="86" t="s">
        <v>124</v>
      </c>
      <c r="E137" s="86" t="s">
        <v>62</v>
      </c>
      <c r="F137" s="86" t="s">
        <v>236</v>
      </c>
      <c r="G137" s="86" t="n">
        <v>28.7</v>
      </c>
      <c r="H137" s="87" t="n">
        <v>4248</v>
      </c>
      <c r="I137" s="87" t="n">
        <v>2990</v>
      </c>
      <c r="J137" s="87" t="n">
        <v>2723</v>
      </c>
      <c r="K137" s="88" t="n">
        <v>853480</v>
      </c>
      <c r="L137" s="88" t="n">
        <v>849700</v>
      </c>
      <c r="M137" s="88" t="n">
        <v>438800</v>
      </c>
      <c r="N137" s="88" t="n">
        <v>207210</v>
      </c>
      <c r="O137" s="88" t="n">
        <v>596100</v>
      </c>
      <c r="P137" s="40" t="n">
        <f aca="false">INDEX(Pricing_Analysis!$B$6:$B$11,MATCH(E137,Pricing_Analysis!$A$6:$A$11,0))</f>
        <v>340</v>
      </c>
      <c r="Q137" s="39" t="n">
        <f aca="false">I137*P137</f>
        <v>1016600</v>
      </c>
      <c r="R137" s="39" t="n">
        <f aca="false">(I137-J137)*P137</f>
        <v>90780</v>
      </c>
      <c r="S137" s="39" t="n">
        <f aca="false">K137-M137-N137</f>
        <v>207470</v>
      </c>
    </row>
    <row r="138" customFormat="false" ht="15" hidden="false" customHeight="false" outlineLevel="0" collapsed="false">
      <c r="A138" s="89" t="n">
        <v>46327</v>
      </c>
      <c r="B138" s="90" t="n">
        <v>2026</v>
      </c>
      <c r="C138" s="90" t="n">
        <v>11</v>
      </c>
      <c r="D138" s="90" t="s">
        <v>124</v>
      </c>
      <c r="E138" s="90" t="s">
        <v>63</v>
      </c>
      <c r="F138" s="90" t="s">
        <v>236</v>
      </c>
      <c r="G138" s="90" t="n">
        <v>45</v>
      </c>
      <c r="H138" s="91" t="n">
        <v>6660</v>
      </c>
      <c r="I138" s="91" t="n">
        <v>5345</v>
      </c>
      <c r="J138" s="91" t="n">
        <v>4765</v>
      </c>
      <c r="K138" s="92" t="n">
        <v>1778410</v>
      </c>
      <c r="L138" s="92" t="n">
        <v>1650400</v>
      </c>
      <c r="M138" s="92" t="n">
        <v>681910</v>
      </c>
      <c r="N138" s="92" t="n">
        <v>415340</v>
      </c>
      <c r="O138" s="92" t="n">
        <v>817300</v>
      </c>
      <c r="P138" s="93" t="n">
        <f aca="false">INDEX(Pricing_Analysis!$B$6:$B$11,MATCH(E138,Pricing_Analysis!$A$6:$A$11,0))</f>
        <v>410</v>
      </c>
      <c r="Q138" s="94" t="n">
        <f aca="false">I138*P138</f>
        <v>2191450</v>
      </c>
      <c r="R138" s="94" t="n">
        <f aca="false">(I138-J138)*P138</f>
        <v>237800</v>
      </c>
      <c r="S138" s="94" t="n">
        <f aca="false">K138-M138-N138</f>
        <v>681160</v>
      </c>
    </row>
    <row r="139" customFormat="false" ht="15" hidden="false" customHeight="false" outlineLevel="0" collapsed="false">
      <c r="A139" s="85" t="n">
        <v>46327</v>
      </c>
      <c r="B139" s="86" t="n">
        <v>2026</v>
      </c>
      <c r="C139" s="86" t="n">
        <v>11</v>
      </c>
      <c r="D139" s="86" t="s">
        <v>124</v>
      </c>
      <c r="E139" s="86" t="s">
        <v>64</v>
      </c>
      <c r="F139" s="86" t="s">
        <v>236</v>
      </c>
      <c r="G139" s="86" t="n">
        <v>24.5</v>
      </c>
      <c r="H139" s="87" t="n">
        <v>3626</v>
      </c>
      <c r="I139" s="87" t="n">
        <v>2647</v>
      </c>
      <c r="J139" s="87" t="n">
        <v>2502</v>
      </c>
      <c r="K139" s="88" t="n">
        <v>834000</v>
      </c>
      <c r="L139" s="88" t="n">
        <v>860100</v>
      </c>
      <c r="M139" s="88" t="n">
        <v>413240</v>
      </c>
      <c r="N139" s="88" t="n">
        <v>180740</v>
      </c>
      <c r="O139" s="88" t="n">
        <v>315000</v>
      </c>
      <c r="P139" s="40" t="n">
        <f aca="false">INDEX(Pricing_Analysis!$B$6:$B$11,MATCH(E139,Pricing_Analysis!$A$6:$A$11,0))</f>
        <v>355</v>
      </c>
      <c r="Q139" s="39" t="n">
        <f aca="false">I139*P139</f>
        <v>939685</v>
      </c>
      <c r="R139" s="39" t="n">
        <f aca="false">(I139-J139)*P139</f>
        <v>51475</v>
      </c>
      <c r="S139" s="39" t="n">
        <f aca="false">K139-M139-N139</f>
        <v>240020</v>
      </c>
    </row>
    <row r="140" customFormat="false" ht="15" hidden="false" customHeight="false" outlineLevel="0" collapsed="false">
      <c r="A140" s="89" t="n">
        <v>46327</v>
      </c>
      <c r="B140" s="90" t="n">
        <v>2026</v>
      </c>
      <c r="C140" s="90" t="n">
        <v>11</v>
      </c>
      <c r="D140" s="90" t="s">
        <v>124</v>
      </c>
      <c r="E140" s="90" t="s">
        <v>65</v>
      </c>
      <c r="F140" s="90" t="s">
        <v>236</v>
      </c>
      <c r="G140" s="90" t="n">
        <v>15.3</v>
      </c>
      <c r="H140" s="91" t="n">
        <v>2264</v>
      </c>
      <c r="I140" s="91" t="n">
        <v>1514</v>
      </c>
      <c r="J140" s="91" t="n">
        <v>1324</v>
      </c>
      <c r="K140" s="92" t="n">
        <v>394650</v>
      </c>
      <c r="L140" s="92" t="n">
        <v>374500</v>
      </c>
      <c r="M140" s="92" t="n">
        <v>235930</v>
      </c>
      <c r="N140" s="92" t="n">
        <v>90720</v>
      </c>
      <c r="O140" s="92" t="n">
        <v>247300</v>
      </c>
      <c r="P140" s="93" t="n">
        <f aca="false">INDEX(Pricing_Analysis!$B$6:$B$11,MATCH(E140,Pricing_Analysis!$A$6:$A$11,0))</f>
        <v>330</v>
      </c>
      <c r="Q140" s="94" t="n">
        <f aca="false">I140*P140</f>
        <v>499620</v>
      </c>
      <c r="R140" s="94" t="n">
        <f aca="false">(I140-J140)*P140</f>
        <v>62700</v>
      </c>
      <c r="S140" s="94" t="n">
        <f aca="false">K140-M140-N140</f>
        <v>68000</v>
      </c>
    </row>
    <row r="141" customFormat="false" ht="15" hidden="false" customHeight="false" outlineLevel="0" collapsed="false">
      <c r="A141" s="85" t="n">
        <v>46357</v>
      </c>
      <c r="B141" s="86" t="n">
        <v>2026</v>
      </c>
      <c r="C141" s="86" t="n">
        <v>12</v>
      </c>
      <c r="D141" s="86" t="s">
        <v>125</v>
      </c>
      <c r="E141" s="86" t="s">
        <v>60</v>
      </c>
      <c r="F141" s="86" t="s">
        <v>236</v>
      </c>
      <c r="G141" s="86" t="n">
        <v>41.1</v>
      </c>
      <c r="H141" s="87" t="n">
        <v>5353</v>
      </c>
      <c r="I141" s="87" t="n">
        <v>3808</v>
      </c>
      <c r="J141" s="87" t="n">
        <v>3592</v>
      </c>
      <c r="K141" s="88" t="n">
        <v>1338010</v>
      </c>
      <c r="L141" s="88" t="n">
        <v>1280000</v>
      </c>
      <c r="M141" s="88" t="n">
        <v>639310</v>
      </c>
      <c r="N141" s="88" t="n">
        <v>328620</v>
      </c>
      <c r="O141" s="88" t="n">
        <v>780700</v>
      </c>
      <c r="P141" s="40" t="n">
        <f aca="false">INDEX(Pricing_Analysis!$B$6:$B$11,MATCH(E141,Pricing_Analysis!$A$6:$A$11,0))</f>
        <v>390</v>
      </c>
      <c r="Q141" s="39" t="n">
        <f aca="false">I141*P141</f>
        <v>1485120</v>
      </c>
      <c r="R141" s="39" t="n">
        <f aca="false">(I141-J141)*P141</f>
        <v>84240</v>
      </c>
      <c r="S141" s="39" t="n">
        <f aca="false">K141-M141-N141</f>
        <v>370080</v>
      </c>
    </row>
    <row r="142" customFormat="false" ht="15" hidden="false" customHeight="false" outlineLevel="0" collapsed="false">
      <c r="A142" s="89" t="n">
        <v>46357</v>
      </c>
      <c r="B142" s="90" t="n">
        <v>2026</v>
      </c>
      <c r="C142" s="90" t="n">
        <v>12</v>
      </c>
      <c r="D142" s="90" t="s">
        <v>125</v>
      </c>
      <c r="E142" s="90" t="s">
        <v>61</v>
      </c>
      <c r="F142" s="90" t="s">
        <v>236</v>
      </c>
      <c r="G142" s="90" t="n">
        <v>32.5</v>
      </c>
      <c r="H142" s="91" t="n">
        <v>4233</v>
      </c>
      <c r="I142" s="91" t="n">
        <v>2919</v>
      </c>
      <c r="J142" s="91" t="n">
        <v>2617</v>
      </c>
      <c r="K142" s="92" t="n">
        <v>936570</v>
      </c>
      <c r="L142" s="92" t="n">
        <v>927600</v>
      </c>
      <c r="M142" s="92" t="n">
        <v>520760</v>
      </c>
      <c r="N142" s="92" t="n">
        <v>207780</v>
      </c>
      <c r="O142" s="92" t="n">
        <v>342700</v>
      </c>
      <c r="P142" s="93" t="n">
        <f aca="false">INDEX(Pricing_Analysis!$B$6:$B$11,MATCH(E142,Pricing_Analysis!$A$6:$A$11,0))</f>
        <v>370</v>
      </c>
      <c r="Q142" s="94" t="n">
        <f aca="false">I142*P142</f>
        <v>1080030</v>
      </c>
      <c r="R142" s="94" t="n">
        <f aca="false">(I142-J142)*P142</f>
        <v>111740</v>
      </c>
      <c r="S142" s="94" t="n">
        <f aca="false">K142-M142-N142</f>
        <v>208030</v>
      </c>
    </row>
    <row r="143" customFormat="false" ht="15" hidden="false" customHeight="false" outlineLevel="0" collapsed="false">
      <c r="A143" s="85" t="n">
        <v>46357</v>
      </c>
      <c r="B143" s="86" t="n">
        <v>2026</v>
      </c>
      <c r="C143" s="86" t="n">
        <v>12</v>
      </c>
      <c r="D143" s="86" t="s">
        <v>125</v>
      </c>
      <c r="E143" s="86" t="s">
        <v>62</v>
      </c>
      <c r="F143" s="86" t="s">
        <v>236</v>
      </c>
      <c r="G143" s="86" t="n">
        <v>28.6</v>
      </c>
      <c r="H143" s="87" t="n">
        <v>3725</v>
      </c>
      <c r="I143" s="87" t="n">
        <v>2406</v>
      </c>
      <c r="J143" s="87" t="n">
        <v>2128</v>
      </c>
      <c r="K143" s="88" t="n">
        <v>685120</v>
      </c>
      <c r="L143" s="88" t="n">
        <v>639900</v>
      </c>
      <c r="M143" s="88" t="n">
        <v>443940</v>
      </c>
      <c r="N143" s="88" t="n">
        <v>161240</v>
      </c>
      <c r="O143" s="88" t="n">
        <v>298800</v>
      </c>
      <c r="P143" s="40" t="n">
        <f aca="false">INDEX(Pricing_Analysis!$B$6:$B$11,MATCH(E143,Pricing_Analysis!$A$6:$A$11,0))</f>
        <v>340</v>
      </c>
      <c r="Q143" s="39" t="n">
        <f aca="false">I143*P143</f>
        <v>818040</v>
      </c>
      <c r="R143" s="39" t="n">
        <f aca="false">(I143-J143)*P143</f>
        <v>94520</v>
      </c>
      <c r="S143" s="39" t="n">
        <f aca="false">K143-M143-N143</f>
        <v>79940</v>
      </c>
    </row>
    <row r="144" customFormat="false" ht="15" hidden="false" customHeight="false" outlineLevel="0" collapsed="false">
      <c r="A144" s="89" t="n">
        <v>46357</v>
      </c>
      <c r="B144" s="90" t="n">
        <v>2026</v>
      </c>
      <c r="C144" s="90" t="n">
        <v>12</v>
      </c>
      <c r="D144" s="90" t="s">
        <v>125</v>
      </c>
      <c r="E144" s="90" t="s">
        <v>63</v>
      </c>
      <c r="F144" s="90" t="s">
        <v>236</v>
      </c>
      <c r="G144" s="90" t="n">
        <v>45.2</v>
      </c>
      <c r="H144" s="91" t="n">
        <v>5887</v>
      </c>
      <c r="I144" s="91" t="n">
        <v>4259</v>
      </c>
      <c r="J144" s="91" t="n">
        <v>3796</v>
      </c>
      <c r="K144" s="92" t="n">
        <v>1418160</v>
      </c>
      <c r="L144" s="92" t="n">
        <v>1528800</v>
      </c>
      <c r="M144" s="92" t="n">
        <v>678190</v>
      </c>
      <c r="N144" s="92" t="n">
        <v>308730</v>
      </c>
      <c r="O144" s="92" t="n">
        <v>868900</v>
      </c>
      <c r="P144" s="93" t="n">
        <f aca="false">INDEX(Pricing_Analysis!$B$6:$B$11,MATCH(E144,Pricing_Analysis!$A$6:$A$11,0))</f>
        <v>410</v>
      </c>
      <c r="Q144" s="94" t="n">
        <f aca="false">I144*P144</f>
        <v>1746190</v>
      </c>
      <c r="R144" s="94" t="n">
        <f aca="false">(I144-J144)*P144</f>
        <v>189830</v>
      </c>
      <c r="S144" s="94" t="n">
        <f aca="false">K144-M144-N144</f>
        <v>431240</v>
      </c>
    </row>
    <row r="145" customFormat="false" ht="15" hidden="false" customHeight="false" outlineLevel="0" collapsed="false">
      <c r="A145" s="85" t="n">
        <v>46357</v>
      </c>
      <c r="B145" s="86" t="n">
        <v>2026</v>
      </c>
      <c r="C145" s="86" t="n">
        <v>12</v>
      </c>
      <c r="D145" s="86" t="s">
        <v>125</v>
      </c>
      <c r="E145" s="86" t="s">
        <v>64</v>
      </c>
      <c r="F145" s="86" t="s">
        <v>236</v>
      </c>
      <c r="G145" s="86" t="n">
        <v>24.1</v>
      </c>
      <c r="H145" s="87" t="n">
        <v>3139</v>
      </c>
      <c r="I145" s="87" t="n">
        <v>2095</v>
      </c>
      <c r="J145" s="87" t="n">
        <v>1959</v>
      </c>
      <c r="K145" s="88" t="n">
        <v>654800</v>
      </c>
      <c r="L145" s="88" t="n">
        <v>660700</v>
      </c>
      <c r="M145" s="88" t="n">
        <v>391950</v>
      </c>
      <c r="N145" s="88" t="n">
        <v>138540</v>
      </c>
      <c r="O145" s="88" t="n">
        <v>380000</v>
      </c>
      <c r="P145" s="40" t="n">
        <f aca="false">INDEX(Pricing_Analysis!$B$6:$B$11,MATCH(E145,Pricing_Analysis!$A$6:$A$11,0))</f>
        <v>355</v>
      </c>
      <c r="Q145" s="39" t="n">
        <f aca="false">I145*P145</f>
        <v>743725</v>
      </c>
      <c r="R145" s="39" t="n">
        <f aca="false">(I145-J145)*P145</f>
        <v>48280</v>
      </c>
      <c r="S145" s="39" t="n">
        <f aca="false">K145-M145-N145</f>
        <v>124310</v>
      </c>
    </row>
    <row r="146" customFormat="false" ht="15" hidden="false" customHeight="false" outlineLevel="0" collapsed="false">
      <c r="A146" s="89" t="n">
        <v>46357</v>
      </c>
      <c r="B146" s="90" t="n">
        <v>2026</v>
      </c>
      <c r="C146" s="90" t="n">
        <v>12</v>
      </c>
      <c r="D146" s="90" t="s">
        <v>125</v>
      </c>
      <c r="E146" s="90" t="s">
        <v>65</v>
      </c>
      <c r="F146" s="90" t="s">
        <v>236</v>
      </c>
      <c r="G146" s="90" t="n">
        <v>16</v>
      </c>
      <c r="H146" s="91" t="n">
        <v>2084</v>
      </c>
      <c r="I146" s="91" t="n">
        <v>1294</v>
      </c>
      <c r="J146" s="91" t="n">
        <v>1120</v>
      </c>
      <c r="K146" s="92" t="n">
        <v>347080</v>
      </c>
      <c r="L146" s="92" t="n">
        <v>357300</v>
      </c>
      <c r="M146" s="92" t="n">
        <v>256120</v>
      </c>
      <c r="N146" s="92" t="n">
        <v>85760</v>
      </c>
      <c r="O146" s="92" t="n">
        <v>142600</v>
      </c>
      <c r="P146" s="93" t="n">
        <f aca="false">INDEX(Pricing_Analysis!$B$6:$B$11,MATCH(E146,Pricing_Analysis!$A$6:$A$11,0))</f>
        <v>330</v>
      </c>
      <c r="Q146" s="94" t="n">
        <f aca="false">I146*P146</f>
        <v>427020</v>
      </c>
      <c r="R146" s="94" t="n">
        <f aca="false">(I146-J146)*P146</f>
        <v>57420</v>
      </c>
      <c r="S146" s="94" t="n">
        <f aca="false">K146-M146-N146</f>
        <v>5200</v>
      </c>
    </row>
  </sheetData>
  <mergeCells count="1">
    <mergeCell ref="A1:S1"/>
  </mergeCells>
  <conditionalFormatting sqref="A3:S146">
    <cfRule type="expression" priority="2" aboveAverage="0" equalAverage="0" bottom="0" percent="0" rank="0" text="" dxfId="2">
      <formula>$F3="Forecast"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237</v>
      </c>
    </row>
    <row r="3" customFormat="false" ht="15" hidden="false" customHeight="false" outlineLevel="0" collapsed="false">
      <c r="A3" s="0" t="s">
        <v>238</v>
      </c>
      <c r="B3" s="0" t="s">
        <v>239</v>
      </c>
    </row>
    <row r="4" customFormat="false" ht="15" hidden="false" customHeight="false" outlineLevel="0" collapsed="false">
      <c r="A4" s="0" t="s">
        <v>50</v>
      </c>
      <c r="B4" s="0" t="n">
        <f aca="false">SUMIFS(Monthly_Data!$K$3:$K$146,Monthly_Data!$B$3:$B$146,Dashboard!$D$5,Monthly_Data!$E$3:$E$146,IF(Dashboard!$H$5="All","*",Dashboard!$H$5))</f>
        <v>68275620</v>
      </c>
    </row>
    <row r="5" customFormat="false" ht="15" hidden="false" customHeight="false" outlineLevel="0" collapsed="false">
      <c r="A5" s="0" t="s">
        <v>240</v>
      </c>
      <c r="B5" s="0" t="n">
        <f aca="false">SUMIFS(Monthly_Data!$L$3:$L$146,Monthly_Data!$B$3:$B$146,Dashboard!$D$5,Monthly_Data!$E$3:$E$146,IF(Dashboard!$H$5="All","*",Dashboard!$H$5))</f>
        <v>68199400</v>
      </c>
    </row>
    <row r="6" customFormat="false" ht="15" hidden="false" customHeight="false" outlineLevel="0" collapsed="false">
      <c r="A6" s="0" t="s">
        <v>241</v>
      </c>
      <c r="B6" s="0" t="n">
        <f aca="false">IFERROR((B4-B5)/B5,0)</f>
        <v>0.00111760514022118</v>
      </c>
    </row>
    <row r="7" customFormat="false" ht="15" hidden="false" customHeight="false" outlineLevel="0" collapsed="false">
      <c r="A7" s="0" t="s">
        <v>55</v>
      </c>
      <c r="B7" s="0" t="n">
        <f aca="false">SUMIFS(Monthly_Data!$S$3:$S$146,Monthly_Data!$B$3:$B$146,Dashboard!$D$5,Monthly_Data!$E$3:$E$146,IF(Dashboard!$H$5="All","*",Dashboard!$H$5))</f>
        <v>18375090</v>
      </c>
    </row>
    <row r="8" customFormat="false" ht="15" hidden="false" customHeight="false" outlineLevel="0" collapsed="false">
      <c r="A8" s="0" t="s">
        <v>242</v>
      </c>
      <c r="B8" s="0" t="n">
        <f aca="false">IFERROR(B7/B4,0)</f>
        <v>0.269131060252547</v>
      </c>
    </row>
    <row r="9" customFormat="false" ht="15" hidden="false" customHeight="false" outlineLevel="0" collapsed="false">
      <c r="A9" s="0" t="s">
        <v>243</v>
      </c>
      <c r="B9" s="0" t="n">
        <f aca="false">SUMIFS(Monthly_Data!$H$3:$H$146,Monthly_Data!$B$3:$B$146,Dashboard!$D$5,Monthly_Data!$E$3:$E$146,IF(Dashboard!$H$5="All","*",Dashboard!$H$5))</f>
        <v>313712</v>
      </c>
    </row>
    <row r="10" customFormat="false" ht="15" hidden="false" customHeight="false" outlineLevel="0" collapsed="false">
      <c r="A10" s="0" t="s">
        <v>244</v>
      </c>
      <c r="B10" s="0" t="n">
        <f aca="false">SUMIFS(Monthly_Data!$I$3:$I$146,Monthly_Data!$B$3:$B$146,Dashboard!$D$5,Monthly_Data!$E$3:$E$146,IF(Dashboard!$H$5="All","*",Dashboard!$H$5))</f>
        <v>214634</v>
      </c>
    </row>
    <row r="11" customFormat="false" ht="15" hidden="false" customHeight="false" outlineLevel="0" collapsed="false">
      <c r="A11" s="0" t="s">
        <v>245</v>
      </c>
      <c r="B11" s="0" t="n">
        <f aca="false">SUMIFS(Monthly_Data!$J$3:$J$146,Monthly_Data!$B$3:$B$146,Dashboard!$D$5,Monthly_Data!$E$3:$E$146,IF(Dashboard!$H$5="All","*",Dashboard!$H$5))</f>
        <v>195536</v>
      </c>
    </row>
    <row r="12" customFormat="false" ht="15" hidden="false" customHeight="false" outlineLevel="0" collapsed="false">
      <c r="A12" s="0" t="s">
        <v>182</v>
      </c>
      <c r="B12" s="0" t="n">
        <f aca="false">IFERROR(B10/B9,0)</f>
        <v>0.684175294537665</v>
      </c>
    </row>
    <row r="13" customFormat="false" ht="15" hidden="false" customHeight="false" outlineLevel="0" collapsed="false">
      <c r="A13" s="0" t="s">
        <v>187</v>
      </c>
      <c r="B13" s="0" t="n">
        <f aca="false">IFERROR(B11/B10,0)</f>
        <v>0.911020621150424</v>
      </c>
    </row>
    <row r="14" customFormat="false" ht="15" hidden="false" customHeight="false" outlineLevel="0" collapsed="false">
      <c r="A14" s="0" t="s">
        <v>193</v>
      </c>
      <c r="B14" s="0" t="n">
        <f aca="false">IFERROR(B4/B11,0)</f>
        <v>349.171610342853</v>
      </c>
    </row>
    <row r="15" customFormat="false" ht="15" hidden="false" customHeight="false" outlineLevel="0" collapsed="false">
      <c r="A15" s="0" t="s">
        <v>246</v>
      </c>
      <c r="B15" s="0" t="n">
        <f aca="false">SUMIFS(Monthly_Data!$G$3:$G$146,Monthly_Data!$B$3:$B$146,Dashboard!$D$5,Monthly_Data!$E$3:$E$146,IF(Dashboard!$H$5="All","*",Dashboard!$H$5))/12</f>
        <v>182.741666666667</v>
      </c>
    </row>
    <row r="16" customFormat="false" ht="15" hidden="false" customHeight="false" outlineLevel="0" collapsed="false">
      <c r="A16" s="0" t="s">
        <v>209</v>
      </c>
      <c r="B16" s="0" t="n">
        <f aca="false">IFERROR(B4/B15,0)</f>
        <v>373618.24068585</v>
      </c>
    </row>
    <row r="17" customFormat="false" ht="15" hidden="false" customHeight="false" outlineLevel="0" collapsed="false">
      <c r="A17" s="0" t="s">
        <v>247</v>
      </c>
      <c r="B17" s="0" t="n">
        <f aca="false">_xlfn.MAXIFS(Monthly_Data!$C$3:$C$146,Monthly_Data!$B$3:$B$146,Dashboard!$D$5,Monthly_Data!$F$3:$F$146,"Actual")</f>
        <v>9</v>
      </c>
    </row>
    <row r="18" customFormat="false" ht="15" hidden="false" customHeight="false" outlineLevel="0" collapsed="false">
      <c r="A18" s="0" t="s">
        <v>57</v>
      </c>
      <c r="B18" s="0" t="n">
        <f aca="false">SUMIFS(Monthly_Data!$O$3:$O$146,Monthly_Data!$B$3:$B$146,Dashboard!$D$5,Monthly_Data!$C$3:$C$146,B17,Monthly_Data!$E$3:$E$146,IF(Dashboard!$H$5="All","*",Dashboard!$H$5))</f>
        <v>2869100</v>
      </c>
    </row>
    <row r="19" customFormat="false" ht="15" hidden="false" customHeight="false" outlineLevel="0" collapsed="false">
      <c r="A19" s="0" t="s">
        <v>248</v>
      </c>
      <c r="B19" s="0" t="n">
        <f aca="false">SUMIFS(Monthly_Data!$M$3:$M$146,Monthly_Data!$B$3:$B$146,Dashboard!$D$5,Monthly_Data!$E$3:$E$146,IF(Dashboard!$H$5="All","*",Dashboard!$H$5))</f>
        <v>34887000</v>
      </c>
    </row>
    <row r="20" customFormat="false" ht="15" hidden="false" customHeight="false" outlineLevel="0" collapsed="false">
      <c r="A20" s="0" t="s">
        <v>249</v>
      </c>
      <c r="B20" s="0" t="n">
        <f aca="false">SUMIFS(Monthly_Data!$N$3:$N$146,Monthly_Data!$B$3:$B$146,Dashboard!$D$5,Monthly_Data!$E$3:$E$146,IF(Dashboard!$H$5="All","*",Dashboard!$H$5))</f>
        <v>15013530</v>
      </c>
    </row>
    <row r="21" customFormat="false" ht="15" hidden="false" customHeight="false" outlineLevel="0" collapsed="false">
      <c r="A21" s="0" t="s">
        <v>250</v>
      </c>
      <c r="B21" s="0" t="n">
        <f aca="false">SUMIFS(Monthly_Data!$Q$3:$Q$146,Monthly_Data!$B$3:$B$146,Dashboard!$D$5,Monthly_Data!$E$3:$E$146,IF(Dashboard!$H$5="All","*",Dashboard!$H$5))</f>
        <v>80621575</v>
      </c>
    </row>
    <row r="22" customFormat="false" ht="15" hidden="false" customHeight="false" outlineLevel="0" collapsed="false">
      <c r="A22" s="0" t="s">
        <v>251</v>
      </c>
      <c r="B22" s="0" t="n">
        <f aca="false">SUMIFS(Monthly_Data!$R$3:$R$146,Monthly_Data!$B$3:$B$146,Dashboard!$D$5,Monthly_Data!$E$3:$E$146,IF(Dashboard!$H$5="All","*",Dashboard!$H$5))</f>
        <v>7168410</v>
      </c>
    </row>
    <row r="23" customFormat="false" ht="15" hidden="false" customHeight="false" outlineLevel="0" collapsed="false">
      <c r="A23" s="0" t="s">
        <v>252</v>
      </c>
      <c r="B23" s="0" t="n">
        <f aca="false">B21-B22-B4</f>
        <v>5177545</v>
      </c>
    </row>
    <row r="26" customFormat="false" ht="15" hidden="false" customHeight="false" outlineLevel="0" collapsed="false">
      <c r="A26" s="0" t="s">
        <v>253</v>
      </c>
      <c r="B26" s="0" t="s">
        <v>83</v>
      </c>
      <c r="C26" s="0" t="s">
        <v>239</v>
      </c>
    </row>
    <row r="27" customFormat="false" ht="15" hidden="false" customHeight="false" outlineLevel="0" collapsed="false">
      <c r="A27" s="0" t="s">
        <v>254</v>
      </c>
      <c r="B27" s="0" t="n">
        <v>0</v>
      </c>
      <c r="C27" s="0" t="n">
        <f aca="false">B21</f>
        <v>80621575</v>
      </c>
    </row>
    <row r="28" customFormat="false" ht="15" hidden="false" customHeight="false" outlineLevel="0" collapsed="false">
      <c r="A28" s="0" t="s">
        <v>255</v>
      </c>
      <c r="B28" s="0" t="n">
        <f aca="false">B21-B22</f>
        <v>73453165</v>
      </c>
      <c r="C28" s="0" t="n">
        <f aca="false">B22</f>
        <v>7168410</v>
      </c>
    </row>
    <row r="29" customFormat="false" ht="15" hidden="false" customHeight="false" outlineLevel="0" collapsed="false">
      <c r="A29" s="0" t="s">
        <v>256</v>
      </c>
      <c r="B29" s="0" t="n">
        <f aca="false">B4</f>
        <v>68275620</v>
      </c>
      <c r="C29" s="0" t="n">
        <f aca="false">B23</f>
        <v>5177545</v>
      </c>
    </row>
    <row r="30" customFormat="false" ht="15" hidden="false" customHeight="false" outlineLevel="0" collapsed="false">
      <c r="A30" s="0" t="s">
        <v>257</v>
      </c>
      <c r="B30" s="0" t="n">
        <v>0</v>
      </c>
      <c r="C30" s="0" t="n">
        <f aca="false">B4</f>
        <v>68275620</v>
      </c>
    </row>
    <row r="33" customFormat="false" ht="15" hidden="false" customHeight="false" outlineLevel="0" collapsed="false">
      <c r="A33" s="0" t="s">
        <v>106</v>
      </c>
      <c r="B33" s="0" t="s">
        <v>235</v>
      </c>
      <c r="C33" s="0" t="s">
        <v>236</v>
      </c>
      <c r="D33" s="0" t="s">
        <v>240</v>
      </c>
      <c r="E33" s="0" t="s">
        <v>182</v>
      </c>
      <c r="F33" s="0" t="s">
        <v>187</v>
      </c>
    </row>
    <row r="34" customFormat="false" ht="15" hidden="false" customHeight="false" outlineLevel="0" collapsed="false">
      <c r="A34" s="0" t="s">
        <v>258</v>
      </c>
      <c r="B34" s="0" t="n">
        <f aca="false">SUMIFS(Monthly_Data!$K$3:$K$146,Monthly_Data!$B$3:$B$146,Dashboard!$D$5,Monthly_Data!$E$3:$E$146,IF(Dashboard!$H$5="All","*",Dashboard!$H$5),Monthly_Data!$C$3:$C$146,1,Monthly_Data!$F$3:$F$146,"Actual")</f>
        <v>4936880</v>
      </c>
      <c r="C34" s="0" t="n">
        <f aca="false">SUMIFS(Monthly_Data!$K$3:$K$146,Monthly_Data!$B$3:$B$146,Dashboard!$D$5,Monthly_Data!$E$3:$E$146,IF(Dashboard!$H$5="All","*",Dashboard!$H$5),Monthly_Data!$C$3:$C$146,1,Monthly_Data!$F$3:$F$146,"Forecast")</f>
        <v>0</v>
      </c>
      <c r="D34" s="0" t="n">
        <f aca="false">SUMIFS(Monthly_Data!$L$3:$L$146,Monthly_Data!$B$3:$B$146,Dashboard!$D$5,Monthly_Data!$E$3:$E$146,IF(Dashboard!$H$5="All","*",Dashboard!$H$5),Monthly_Data!$C$3:$C$146,1)</f>
        <v>4804600</v>
      </c>
      <c r="E34" s="0" t="n">
        <f aca="false">IFERROR(SUMIFS(Monthly_Data!$I$3:$I$146,Monthly_Data!$B$3:$B$146,Dashboard!$D$5,Monthly_Data!$E$3:$E$146,IF(Dashboard!$H$5="All","*",Dashboard!$H$5),Monthly_Data!$C$3:$C$146,1)/SUMIFS(Monthly_Data!$H$3:$H$146,Monthly_Data!$B$3:$B$146,Dashboard!$D$5,Monthly_Data!$E$3:$E$146,IF(Dashboard!$H$5="All","*",Dashboard!$H$5),Monthly_Data!$C$3:$C$146,1),0)</f>
        <v>0.611783313562673</v>
      </c>
      <c r="F34" s="0" t="n">
        <f aca="false">IFERROR(SUMIFS(Monthly_Data!$J$3:$J$146,Monthly_Data!$B$3:$B$146,Dashboard!$D$5,Monthly_Data!$E$3:$E$146,IF(Dashboard!$H$5="All","*",Dashboard!$H$5),Monthly_Data!$C$3:$C$146,1)/SUMIFS(Monthly_Data!$I$3:$I$146,Monthly_Data!$B$3:$B$146,Dashboard!$D$5,Monthly_Data!$E$3:$E$146,IF(Dashboard!$H$5="All","*",Dashboard!$H$5),Monthly_Data!$C$3:$C$146,1),0)</f>
        <v>0.918239400206825</v>
      </c>
    </row>
    <row r="35" customFormat="false" ht="15" hidden="false" customHeight="false" outlineLevel="0" collapsed="false">
      <c r="A35" s="0" t="s">
        <v>259</v>
      </c>
      <c r="B35" s="0" t="n">
        <f aca="false">SUMIFS(Monthly_Data!$K$3:$K$146,Monthly_Data!$B$3:$B$146,Dashboard!$D$5,Monthly_Data!$E$3:$E$146,IF(Dashboard!$H$5="All","*",Dashboard!$H$5),Monthly_Data!$C$3:$C$146,2,Monthly_Data!$F$3:$F$146,"Actual")</f>
        <v>5175860</v>
      </c>
      <c r="C35" s="0" t="n">
        <f aca="false">SUMIFS(Monthly_Data!$K$3:$K$146,Monthly_Data!$B$3:$B$146,Dashboard!$D$5,Monthly_Data!$E$3:$E$146,IF(Dashboard!$H$5="All","*",Dashboard!$H$5),Monthly_Data!$C$3:$C$146,2,Monthly_Data!$F$3:$F$146,"Forecast")</f>
        <v>0</v>
      </c>
      <c r="D35" s="0" t="n">
        <f aca="false">SUMIFS(Monthly_Data!$L$3:$L$146,Monthly_Data!$B$3:$B$146,Dashboard!$D$5,Monthly_Data!$E$3:$E$146,IF(Dashboard!$H$5="All","*",Dashboard!$H$5),Monthly_Data!$C$3:$C$146,2)</f>
        <v>5209100</v>
      </c>
      <c r="E35" s="0" t="n">
        <f aca="false">IFERROR(SUMIFS(Monthly_Data!$I$3:$I$146,Monthly_Data!$B$3:$B$146,Dashboard!$D$5,Monthly_Data!$E$3:$E$146,IF(Dashboard!$H$5="All","*",Dashboard!$H$5),Monthly_Data!$C$3:$C$146,2)/SUMIFS(Monthly_Data!$H$3:$H$146,Monthly_Data!$B$3:$B$146,Dashboard!$D$5,Monthly_Data!$E$3:$E$146,IF(Dashboard!$H$5="All","*",Dashboard!$H$5),Monthly_Data!$C$3:$C$146,2),0)</f>
        <v>0.654259718775848</v>
      </c>
      <c r="F35" s="0" t="n">
        <f aca="false">IFERROR(SUMIFS(Monthly_Data!$J$3:$J$146,Monthly_Data!$B$3:$B$146,Dashboard!$D$5,Monthly_Data!$E$3:$E$146,IF(Dashboard!$H$5="All","*",Dashboard!$H$5),Monthly_Data!$C$3:$C$146,2)/SUMIFS(Monthly_Data!$I$3:$I$146,Monthly_Data!$B$3:$B$146,Dashboard!$D$5,Monthly_Data!$E$3:$E$146,IF(Dashboard!$H$5="All","*",Dashboard!$H$5),Monthly_Data!$C$3:$C$146,2),0)</f>
        <v>0.90181205225453</v>
      </c>
    </row>
    <row r="36" customFormat="false" ht="15" hidden="false" customHeight="false" outlineLevel="0" collapsed="false">
      <c r="A36" s="0" t="s">
        <v>260</v>
      </c>
      <c r="B36" s="0" t="n">
        <f aca="false">SUMIFS(Monthly_Data!$K$3:$K$146,Monthly_Data!$B$3:$B$146,Dashboard!$D$5,Monthly_Data!$E$3:$E$146,IF(Dashboard!$H$5="All","*",Dashboard!$H$5),Monthly_Data!$C$3:$C$146,3,Monthly_Data!$F$3:$F$146,"Actual")</f>
        <v>6125060</v>
      </c>
      <c r="C36" s="0" t="n">
        <f aca="false">SUMIFS(Monthly_Data!$K$3:$K$146,Monthly_Data!$B$3:$B$146,Dashboard!$D$5,Monthly_Data!$E$3:$E$146,IF(Dashboard!$H$5="All","*",Dashboard!$H$5),Monthly_Data!$C$3:$C$146,3,Monthly_Data!$F$3:$F$146,"Forecast")</f>
        <v>0</v>
      </c>
      <c r="D36" s="0" t="n">
        <f aca="false">SUMIFS(Monthly_Data!$L$3:$L$146,Monthly_Data!$B$3:$B$146,Dashboard!$D$5,Monthly_Data!$E$3:$E$146,IF(Dashboard!$H$5="All","*",Dashboard!$H$5),Monthly_Data!$C$3:$C$146,3)</f>
        <v>6193600</v>
      </c>
      <c r="E36" s="0" t="n">
        <f aca="false">IFERROR(SUMIFS(Monthly_Data!$I$3:$I$146,Monthly_Data!$B$3:$B$146,Dashboard!$D$5,Monthly_Data!$E$3:$E$146,IF(Dashboard!$H$5="All","*",Dashboard!$H$5),Monthly_Data!$C$3:$C$146,3)/SUMIFS(Monthly_Data!$H$3:$H$146,Monthly_Data!$B$3:$B$146,Dashboard!$D$5,Monthly_Data!$E$3:$E$146,IF(Dashboard!$H$5="All","*",Dashboard!$H$5),Monthly_Data!$C$3:$C$146,3),0)</f>
        <v>0.721307179755933</v>
      </c>
      <c r="F36" s="0" t="n">
        <f aca="false">IFERROR(SUMIFS(Monthly_Data!$J$3:$J$146,Monthly_Data!$B$3:$B$146,Dashboard!$D$5,Monthly_Data!$E$3:$E$146,IF(Dashboard!$H$5="All","*",Dashboard!$H$5),Monthly_Data!$C$3:$C$146,3)/SUMIFS(Monthly_Data!$I$3:$I$146,Monthly_Data!$B$3:$B$146,Dashboard!$D$5,Monthly_Data!$E$3:$E$146,IF(Dashboard!$H$5="All","*",Dashboard!$H$5),Monthly_Data!$C$3:$C$146,3),0)</f>
        <v>0.909180549068452</v>
      </c>
    </row>
    <row r="37" customFormat="false" ht="15" hidden="false" customHeight="false" outlineLevel="0" collapsed="false">
      <c r="A37" s="0" t="s">
        <v>261</v>
      </c>
      <c r="B37" s="0" t="n">
        <f aca="false">SUMIFS(Monthly_Data!$K$3:$K$146,Monthly_Data!$B$3:$B$146,Dashboard!$D$5,Monthly_Data!$E$3:$E$146,IF(Dashboard!$H$5="All","*",Dashboard!$H$5),Monthly_Data!$C$3:$C$146,4,Monthly_Data!$F$3:$F$146,"Actual")</f>
        <v>5447210</v>
      </c>
      <c r="C37" s="0" t="n">
        <f aca="false">SUMIFS(Monthly_Data!$K$3:$K$146,Monthly_Data!$B$3:$B$146,Dashboard!$D$5,Monthly_Data!$E$3:$E$146,IF(Dashboard!$H$5="All","*",Dashboard!$H$5),Monthly_Data!$C$3:$C$146,4,Monthly_Data!$F$3:$F$146,"Forecast")</f>
        <v>0</v>
      </c>
      <c r="D37" s="0" t="n">
        <f aca="false">SUMIFS(Monthly_Data!$L$3:$L$146,Monthly_Data!$B$3:$B$146,Dashboard!$D$5,Monthly_Data!$E$3:$E$146,IF(Dashboard!$H$5="All","*",Dashboard!$H$5),Monthly_Data!$C$3:$C$146,4)</f>
        <v>5507900</v>
      </c>
      <c r="E37" s="0" t="n">
        <f aca="false">IFERROR(SUMIFS(Monthly_Data!$I$3:$I$146,Monthly_Data!$B$3:$B$146,Dashboard!$D$5,Monthly_Data!$E$3:$E$146,IF(Dashboard!$H$5="All","*",Dashboard!$H$5),Monthly_Data!$C$3:$C$146,4)/SUMIFS(Monthly_Data!$H$3:$H$146,Monthly_Data!$B$3:$B$146,Dashboard!$D$5,Monthly_Data!$E$3:$E$146,IF(Dashboard!$H$5="All","*",Dashboard!$H$5),Monthly_Data!$C$3:$C$146,4),0)</f>
        <v>0.675530218465954</v>
      </c>
      <c r="F37" s="0" t="n">
        <f aca="false">IFERROR(SUMIFS(Monthly_Data!$J$3:$J$146,Monthly_Data!$B$3:$B$146,Dashboard!$D$5,Monthly_Data!$E$3:$E$146,IF(Dashboard!$H$5="All","*",Dashboard!$H$5),Monthly_Data!$C$3:$C$146,4)/SUMIFS(Monthly_Data!$I$3:$I$146,Monthly_Data!$B$3:$B$146,Dashboard!$D$5,Monthly_Data!$E$3:$E$146,IF(Dashboard!$H$5="All","*",Dashboard!$H$5),Monthly_Data!$C$3:$C$146,4),0)</f>
        <v>0.916966656830924</v>
      </c>
    </row>
    <row r="38" customFormat="false" ht="15" hidden="false" customHeight="false" outlineLevel="0" collapsed="false">
      <c r="A38" s="0" t="s">
        <v>118</v>
      </c>
      <c r="B38" s="0" t="n">
        <f aca="false">SUMIFS(Monthly_Data!$K$3:$K$146,Monthly_Data!$B$3:$B$146,Dashboard!$D$5,Monthly_Data!$E$3:$E$146,IF(Dashboard!$H$5="All","*",Dashboard!$H$5),Monthly_Data!$C$3:$C$146,5,Monthly_Data!$F$3:$F$146,"Actual")</f>
        <v>5642410</v>
      </c>
      <c r="C38" s="0" t="n">
        <f aca="false">SUMIFS(Monthly_Data!$K$3:$K$146,Monthly_Data!$B$3:$B$146,Dashboard!$D$5,Monthly_Data!$E$3:$E$146,IF(Dashboard!$H$5="All","*",Dashboard!$H$5),Monthly_Data!$C$3:$C$146,5,Monthly_Data!$F$3:$F$146,"Forecast")</f>
        <v>0</v>
      </c>
      <c r="D38" s="0" t="n">
        <f aca="false">SUMIFS(Monthly_Data!$L$3:$L$146,Monthly_Data!$B$3:$B$146,Dashboard!$D$5,Monthly_Data!$E$3:$E$146,IF(Dashboard!$H$5="All","*",Dashboard!$H$5),Monthly_Data!$C$3:$C$146,5)</f>
        <v>5469900</v>
      </c>
      <c r="E38" s="0" t="n">
        <f aca="false">IFERROR(SUMIFS(Monthly_Data!$I$3:$I$146,Monthly_Data!$B$3:$B$146,Dashboard!$D$5,Monthly_Data!$E$3:$E$146,IF(Dashboard!$H$5="All","*",Dashboard!$H$5),Monthly_Data!$C$3:$C$146,5)/SUMIFS(Monthly_Data!$H$3:$H$146,Monthly_Data!$B$3:$B$146,Dashboard!$D$5,Monthly_Data!$E$3:$E$146,IF(Dashboard!$H$5="All","*",Dashboard!$H$5),Monthly_Data!$C$3:$C$146,5),0)</f>
        <v>0.692295628308175</v>
      </c>
      <c r="F38" s="0" t="n">
        <f aca="false">IFERROR(SUMIFS(Monthly_Data!$J$3:$J$146,Monthly_Data!$B$3:$B$146,Dashboard!$D$5,Monthly_Data!$E$3:$E$146,IF(Dashboard!$H$5="All","*",Dashboard!$H$5),Monthly_Data!$C$3:$C$146,5)/SUMIFS(Monthly_Data!$I$3:$I$146,Monthly_Data!$B$3:$B$146,Dashboard!$D$5,Monthly_Data!$E$3:$E$146,IF(Dashboard!$H$5="All","*",Dashboard!$H$5),Monthly_Data!$C$3:$C$146,5),0)</f>
        <v>0.913178909214476</v>
      </c>
    </row>
    <row r="39" customFormat="false" ht="15" hidden="false" customHeight="false" outlineLevel="0" collapsed="false">
      <c r="A39" s="0" t="s">
        <v>262</v>
      </c>
      <c r="B39" s="0" t="n">
        <f aca="false">SUMIFS(Monthly_Data!$K$3:$K$146,Monthly_Data!$B$3:$B$146,Dashboard!$D$5,Monthly_Data!$E$3:$E$146,IF(Dashboard!$H$5="All","*",Dashboard!$H$5),Monthly_Data!$C$3:$C$146,6,Monthly_Data!$F$3:$F$146,"Actual")</f>
        <v>6127590</v>
      </c>
      <c r="C39" s="0" t="n">
        <f aca="false">SUMIFS(Monthly_Data!$K$3:$K$146,Monthly_Data!$B$3:$B$146,Dashboard!$D$5,Monthly_Data!$E$3:$E$146,IF(Dashboard!$H$5="All","*",Dashboard!$H$5),Monthly_Data!$C$3:$C$146,6,Monthly_Data!$F$3:$F$146,"Forecast")</f>
        <v>0</v>
      </c>
      <c r="D39" s="0" t="n">
        <f aca="false">SUMIFS(Monthly_Data!$L$3:$L$146,Monthly_Data!$B$3:$B$146,Dashboard!$D$5,Monthly_Data!$E$3:$E$146,IF(Dashboard!$H$5="All","*",Dashboard!$H$5),Monthly_Data!$C$3:$C$146,6)</f>
        <v>6091100</v>
      </c>
      <c r="E39" s="0" t="n">
        <f aca="false">IFERROR(SUMIFS(Monthly_Data!$I$3:$I$146,Monthly_Data!$B$3:$B$146,Dashboard!$D$5,Monthly_Data!$E$3:$E$146,IF(Dashboard!$H$5="All","*",Dashboard!$H$5),Monthly_Data!$C$3:$C$146,6)/SUMIFS(Monthly_Data!$H$3:$H$146,Monthly_Data!$B$3:$B$146,Dashboard!$D$5,Monthly_Data!$E$3:$E$146,IF(Dashboard!$H$5="All","*",Dashboard!$H$5),Monthly_Data!$C$3:$C$146,6),0)</f>
        <v>0.709695393759287</v>
      </c>
      <c r="F39" s="0" t="n">
        <f aca="false">IFERROR(SUMIFS(Monthly_Data!$J$3:$J$146,Monthly_Data!$B$3:$B$146,Dashboard!$D$5,Monthly_Data!$E$3:$E$146,IF(Dashboard!$H$5="All","*",Dashboard!$H$5),Monthly_Data!$C$3:$C$146,6)/SUMIFS(Monthly_Data!$I$3:$I$146,Monthly_Data!$B$3:$B$146,Dashboard!$D$5,Monthly_Data!$E$3:$E$146,IF(Dashboard!$H$5="All","*",Dashboard!$H$5),Monthly_Data!$C$3:$C$146,6),0)</f>
        <v>0.915624182151269</v>
      </c>
    </row>
    <row r="40" customFormat="false" ht="15" hidden="false" customHeight="false" outlineLevel="0" collapsed="false">
      <c r="A40" s="0" t="s">
        <v>263</v>
      </c>
      <c r="B40" s="0" t="n">
        <f aca="false">SUMIFS(Monthly_Data!$K$3:$K$146,Monthly_Data!$B$3:$B$146,Dashboard!$D$5,Monthly_Data!$E$3:$E$146,IF(Dashboard!$H$5="All","*",Dashboard!$H$5),Monthly_Data!$C$3:$C$146,7,Monthly_Data!$F$3:$F$146,"Actual")</f>
        <v>5594890</v>
      </c>
      <c r="C40" s="0" t="n">
        <f aca="false">SUMIFS(Monthly_Data!$K$3:$K$146,Monthly_Data!$B$3:$B$146,Dashboard!$D$5,Monthly_Data!$E$3:$E$146,IF(Dashboard!$H$5="All","*",Dashboard!$H$5),Monthly_Data!$C$3:$C$146,7,Monthly_Data!$F$3:$F$146,"Forecast")</f>
        <v>0</v>
      </c>
      <c r="D40" s="0" t="n">
        <f aca="false">SUMIFS(Monthly_Data!$L$3:$L$146,Monthly_Data!$B$3:$B$146,Dashboard!$D$5,Monthly_Data!$E$3:$E$146,IF(Dashboard!$H$5="All","*",Dashboard!$H$5),Monthly_Data!$C$3:$C$146,7)</f>
        <v>5612700</v>
      </c>
      <c r="E40" s="0" t="n">
        <f aca="false">IFERROR(SUMIFS(Monthly_Data!$I$3:$I$146,Monthly_Data!$B$3:$B$146,Dashboard!$D$5,Monthly_Data!$E$3:$E$146,IF(Dashboard!$H$5="All","*",Dashboard!$H$5),Monthly_Data!$C$3:$C$146,7)/SUMIFS(Monthly_Data!$H$3:$H$146,Monthly_Data!$B$3:$B$146,Dashboard!$D$5,Monthly_Data!$E$3:$E$146,IF(Dashboard!$H$5="All","*",Dashboard!$H$5),Monthly_Data!$C$3:$C$146,7),0)</f>
        <v>0.655478848413631</v>
      </c>
      <c r="F40" s="0" t="n">
        <f aca="false">IFERROR(SUMIFS(Monthly_Data!$J$3:$J$146,Monthly_Data!$B$3:$B$146,Dashboard!$D$5,Monthly_Data!$E$3:$E$146,IF(Dashboard!$H$5="All","*",Dashboard!$H$5),Monthly_Data!$C$3:$C$146,7)/SUMIFS(Monthly_Data!$I$3:$I$146,Monthly_Data!$B$3:$B$146,Dashboard!$D$5,Monthly_Data!$E$3:$E$146,IF(Dashboard!$H$5="All","*",Dashboard!$H$5),Monthly_Data!$C$3:$C$146,7),0)</f>
        <v>0.904033613445378</v>
      </c>
    </row>
    <row r="41" customFormat="false" ht="15" hidden="false" customHeight="false" outlineLevel="0" collapsed="false">
      <c r="A41" s="0" t="s">
        <v>264</v>
      </c>
      <c r="B41" s="0" t="n">
        <f aca="false">SUMIFS(Monthly_Data!$K$3:$K$146,Monthly_Data!$B$3:$B$146,Dashboard!$D$5,Monthly_Data!$E$3:$E$146,IF(Dashboard!$H$5="All","*",Dashboard!$H$5),Monthly_Data!$C$3:$C$146,8,Monthly_Data!$F$3:$F$146,"Actual")</f>
        <v>4595840</v>
      </c>
      <c r="C41" s="0" t="n">
        <f aca="false">SUMIFS(Monthly_Data!$K$3:$K$146,Monthly_Data!$B$3:$B$146,Dashboard!$D$5,Monthly_Data!$E$3:$E$146,IF(Dashboard!$H$5="All","*",Dashboard!$H$5),Monthly_Data!$C$3:$C$146,8,Monthly_Data!$F$3:$F$146,"Forecast")</f>
        <v>0</v>
      </c>
      <c r="D41" s="0" t="n">
        <f aca="false">SUMIFS(Monthly_Data!$L$3:$L$146,Monthly_Data!$B$3:$B$146,Dashboard!$D$5,Monthly_Data!$E$3:$E$146,IF(Dashboard!$H$5="All","*",Dashboard!$H$5),Monthly_Data!$C$3:$C$146,8)</f>
        <v>4597800</v>
      </c>
      <c r="E41" s="0" t="n">
        <f aca="false">IFERROR(SUMIFS(Monthly_Data!$I$3:$I$146,Monthly_Data!$B$3:$B$146,Dashboard!$D$5,Monthly_Data!$E$3:$E$146,IF(Dashboard!$H$5="All","*",Dashboard!$H$5),Monthly_Data!$C$3:$C$146,8)/SUMIFS(Monthly_Data!$H$3:$H$146,Monthly_Data!$B$3:$B$146,Dashboard!$D$5,Monthly_Data!$E$3:$E$146,IF(Dashboard!$H$5="All","*",Dashboard!$H$5),Monthly_Data!$C$3:$C$146,8),0)</f>
        <v>0.57385936448894</v>
      </c>
      <c r="F41" s="0" t="n">
        <f aca="false">IFERROR(SUMIFS(Monthly_Data!$J$3:$J$146,Monthly_Data!$B$3:$B$146,Dashboard!$D$5,Monthly_Data!$E$3:$E$146,IF(Dashboard!$H$5="All","*",Dashboard!$H$5),Monthly_Data!$C$3:$C$146,8)/SUMIFS(Monthly_Data!$I$3:$I$146,Monthly_Data!$B$3:$B$146,Dashboard!$D$5,Monthly_Data!$E$3:$E$146,IF(Dashboard!$H$5="All","*",Dashboard!$H$5),Monthly_Data!$C$3:$C$146,8),0)</f>
        <v>0.904013239553165</v>
      </c>
    </row>
    <row r="42" customFormat="false" ht="15" hidden="false" customHeight="false" outlineLevel="0" collapsed="false">
      <c r="A42" s="0" t="s">
        <v>265</v>
      </c>
      <c r="B42" s="0" t="n">
        <f aca="false">SUMIFS(Monthly_Data!$K$3:$K$146,Monthly_Data!$B$3:$B$146,Dashboard!$D$5,Monthly_Data!$E$3:$E$146,IF(Dashboard!$H$5="All","*",Dashboard!$H$5),Monthly_Data!$C$3:$C$146,9,Monthly_Data!$F$3:$F$146,"Actual")</f>
        <v>6205960</v>
      </c>
      <c r="C42" s="0" t="n">
        <f aca="false">SUMIFS(Monthly_Data!$K$3:$K$146,Monthly_Data!$B$3:$B$146,Dashboard!$D$5,Monthly_Data!$E$3:$E$146,IF(Dashboard!$H$5="All","*",Dashboard!$H$5),Monthly_Data!$C$3:$C$146,9,Monthly_Data!$F$3:$F$146,"Forecast")</f>
        <v>0</v>
      </c>
      <c r="D42" s="0" t="n">
        <f aca="false">SUMIFS(Monthly_Data!$L$3:$L$146,Monthly_Data!$B$3:$B$146,Dashboard!$D$5,Monthly_Data!$E$3:$E$146,IF(Dashboard!$H$5="All","*",Dashboard!$H$5),Monthly_Data!$C$3:$C$146,9)</f>
        <v>6313200</v>
      </c>
      <c r="E42" s="0" t="n">
        <f aca="false">IFERROR(SUMIFS(Monthly_Data!$I$3:$I$146,Monthly_Data!$B$3:$B$146,Dashboard!$D$5,Monthly_Data!$E$3:$E$146,IF(Dashboard!$H$5="All","*",Dashboard!$H$5),Monthly_Data!$C$3:$C$146,9)/SUMIFS(Monthly_Data!$H$3:$H$146,Monthly_Data!$B$3:$B$146,Dashboard!$D$5,Monthly_Data!$E$3:$E$146,IF(Dashboard!$H$5="All","*",Dashboard!$H$5),Monthly_Data!$C$3:$C$146,9),0)</f>
        <v>0.710651537335286</v>
      </c>
      <c r="F42" s="0" t="n">
        <f aca="false">IFERROR(SUMIFS(Monthly_Data!$J$3:$J$146,Monthly_Data!$B$3:$B$146,Dashboard!$D$5,Monthly_Data!$E$3:$E$146,IF(Dashboard!$H$5="All","*",Dashboard!$H$5),Monthly_Data!$C$3:$C$146,9)/SUMIFS(Monthly_Data!$I$3:$I$146,Monthly_Data!$B$3:$B$146,Dashboard!$D$5,Monthly_Data!$E$3:$E$146,IF(Dashboard!$H$5="All","*",Dashboard!$H$5),Monthly_Data!$C$3:$C$146,9),0)</f>
        <v>0.916404841617306</v>
      </c>
    </row>
    <row r="43" customFormat="false" ht="15" hidden="false" customHeight="false" outlineLevel="0" collapsed="false">
      <c r="A43" s="0" t="s">
        <v>266</v>
      </c>
      <c r="B43" s="0" t="n">
        <f aca="false">SUMIFS(Monthly_Data!$K$3:$K$146,Monthly_Data!$B$3:$B$146,Dashboard!$D$5,Monthly_Data!$E$3:$E$146,IF(Dashboard!$H$5="All","*",Dashboard!$H$5),Monthly_Data!$C$3:$C$146,10,Monthly_Data!$F$3:$F$146,"Actual")</f>
        <v>0</v>
      </c>
      <c r="C43" s="0" t="n">
        <f aca="false">SUMIFS(Monthly_Data!$K$3:$K$146,Monthly_Data!$B$3:$B$146,Dashboard!$D$5,Monthly_Data!$E$3:$E$146,IF(Dashboard!$H$5="All","*",Dashboard!$H$5),Monthly_Data!$C$3:$C$146,10,Monthly_Data!$F$3:$F$146,"Forecast")</f>
        <v>6338160</v>
      </c>
      <c r="D43" s="0" t="n">
        <f aca="false">SUMIFS(Monthly_Data!$L$3:$L$146,Monthly_Data!$B$3:$B$146,Dashboard!$D$5,Monthly_Data!$E$3:$E$146,IF(Dashboard!$H$5="All","*",Dashboard!$H$5),Monthly_Data!$C$3:$C$146,10)</f>
        <v>6407700</v>
      </c>
      <c r="E43" s="0" t="n">
        <f aca="false">IFERROR(SUMIFS(Monthly_Data!$I$3:$I$146,Monthly_Data!$B$3:$B$146,Dashboard!$D$5,Monthly_Data!$E$3:$E$146,IF(Dashboard!$H$5="All","*",Dashboard!$H$5),Monthly_Data!$C$3:$C$146,10)/SUMIFS(Monthly_Data!$H$3:$H$146,Monthly_Data!$B$3:$B$146,Dashboard!$D$5,Monthly_Data!$E$3:$E$146,IF(Dashboard!$H$5="All","*",Dashboard!$H$5),Monthly_Data!$C$3:$C$146,10),0)</f>
        <v>0.747895403412054</v>
      </c>
      <c r="F43" s="0" t="n">
        <f aca="false">IFERROR(SUMIFS(Monthly_Data!$J$3:$J$146,Monthly_Data!$B$3:$B$146,Dashboard!$D$5,Monthly_Data!$E$3:$E$146,IF(Dashboard!$H$5="All","*",Dashboard!$H$5),Monthly_Data!$C$3:$C$146,10)/SUMIFS(Monthly_Data!$I$3:$I$146,Monthly_Data!$B$3:$B$146,Dashboard!$D$5,Monthly_Data!$E$3:$E$146,IF(Dashboard!$H$5="All","*",Dashboard!$H$5),Monthly_Data!$C$3:$C$146,10),0)</f>
        <v>0.910250024902879</v>
      </c>
    </row>
    <row r="44" customFormat="false" ht="15" hidden="false" customHeight="false" outlineLevel="0" collapsed="false">
      <c r="A44" s="0" t="s">
        <v>267</v>
      </c>
      <c r="B44" s="0" t="n">
        <f aca="false">SUMIFS(Monthly_Data!$K$3:$K$146,Monthly_Data!$B$3:$B$146,Dashboard!$D$5,Monthly_Data!$E$3:$E$146,IF(Dashboard!$H$5="All","*",Dashboard!$H$5),Monthly_Data!$C$3:$C$146,11,Monthly_Data!$F$3:$F$146,"Actual")</f>
        <v>0</v>
      </c>
      <c r="C44" s="0" t="n">
        <f aca="false">SUMIFS(Monthly_Data!$K$3:$K$146,Monthly_Data!$B$3:$B$146,Dashboard!$D$5,Monthly_Data!$E$3:$E$146,IF(Dashboard!$H$5="All","*",Dashboard!$H$5),Monthly_Data!$C$3:$C$146,11,Monthly_Data!$F$3:$F$146,"Forecast")</f>
        <v>6706020</v>
      </c>
      <c r="D44" s="0" t="n">
        <f aca="false">SUMIFS(Monthly_Data!$L$3:$L$146,Monthly_Data!$B$3:$B$146,Dashboard!$D$5,Monthly_Data!$E$3:$E$146,IF(Dashboard!$H$5="All","*",Dashboard!$H$5),Monthly_Data!$C$3:$C$146,11)</f>
        <v>6597500</v>
      </c>
      <c r="E44" s="0" t="n">
        <f aca="false">IFERROR(SUMIFS(Monthly_Data!$I$3:$I$146,Monthly_Data!$B$3:$B$146,Dashboard!$D$5,Monthly_Data!$E$3:$E$146,IF(Dashboard!$H$5="All","*",Dashboard!$H$5),Monthly_Data!$C$3:$C$146,11)/SUMIFS(Monthly_Data!$H$3:$H$146,Monthly_Data!$B$3:$B$146,Dashboard!$D$5,Monthly_Data!$E$3:$E$146,IF(Dashboard!$H$5="All","*",Dashboard!$H$5),Monthly_Data!$C$3:$C$146,11),0)</f>
        <v>0.755735930735931</v>
      </c>
      <c r="F44" s="0" t="n">
        <f aca="false">IFERROR(SUMIFS(Monthly_Data!$J$3:$J$146,Monthly_Data!$B$3:$B$146,Dashboard!$D$5,Monthly_Data!$E$3:$E$146,IF(Dashboard!$H$5="All","*",Dashboard!$H$5),Monthly_Data!$C$3:$C$146,11)/SUMIFS(Monthly_Data!$I$3:$I$146,Monthly_Data!$B$3:$B$146,Dashboard!$D$5,Monthly_Data!$E$3:$E$146,IF(Dashboard!$H$5="All","*",Dashboard!$H$5),Monthly_Data!$C$3:$C$146,11),0)</f>
        <v>0.914029309274906</v>
      </c>
    </row>
    <row r="45" customFormat="false" ht="15" hidden="false" customHeight="false" outlineLevel="0" collapsed="false">
      <c r="A45" s="0" t="s">
        <v>268</v>
      </c>
      <c r="B45" s="0" t="n">
        <f aca="false">SUMIFS(Monthly_Data!$K$3:$K$146,Monthly_Data!$B$3:$B$146,Dashboard!$D$5,Monthly_Data!$E$3:$E$146,IF(Dashboard!$H$5="All","*",Dashboard!$H$5),Monthly_Data!$C$3:$C$146,12,Monthly_Data!$F$3:$F$146,"Actual")</f>
        <v>0</v>
      </c>
      <c r="C45" s="0" t="n">
        <f aca="false">SUMIFS(Monthly_Data!$K$3:$K$146,Monthly_Data!$B$3:$B$146,Dashboard!$D$5,Monthly_Data!$E$3:$E$146,IF(Dashboard!$H$5="All","*",Dashboard!$H$5),Monthly_Data!$C$3:$C$146,12,Monthly_Data!$F$3:$F$146,"Forecast")</f>
        <v>5379740</v>
      </c>
      <c r="D45" s="0" t="n">
        <f aca="false">SUMIFS(Monthly_Data!$L$3:$L$146,Monthly_Data!$B$3:$B$146,Dashboard!$D$5,Monthly_Data!$E$3:$E$146,IF(Dashboard!$H$5="All","*",Dashboard!$H$5),Monthly_Data!$C$3:$C$146,12)</f>
        <v>5394300</v>
      </c>
      <c r="E45" s="0" t="n">
        <f aca="false">IFERROR(SUMIFS(Monthly_Data!$I$3:$I$146,Monthly_Data!$B$3:$B$146,Dashboard!$D$5,Monthly_Data!$E$3:$E$146,IF(Dashboard!$H$5="All","*",Dashboard!$H$5),Monthly_Data!$C$3:$C$146,12)/SUMIFS(Monthly_Data!$H$3:$H$146,Monthly_Data!$B$3:$B$146,Dashboard!$D$5,Monthly_Data!$E$3:$E$146,IF(Dashboard!$H$5="All","*",Dashboard!$H$5),Monthly_Data!$C$3:$C$146,12),0)</f>
        <v>0.687154498177798</v>
      </c>
      <c r="F45" s="0" t="n">
        <f aca="false">IFERROR(SUMIFS(Monthly_Data!$J$3:$J$146,Monthly_Data!$B$3:$B$146,Dashboard!$D$5,Monthly_Data!$E$3:$E$146,IF(Dashboard!$H$5="All","*",Dashboard!$H$5),Monthly_Data!$C$3:$C$146,12)/SUMIFS(Monthly_Data!$I$3:$I$146,Monthly_Data!$B$3:$B$146,Dashboard!$D$5,Monthly_Data!$E$3:$E$146,IF(Dashboard!$H$5="All","*",Dashboard!$H$5),Monthly_Data!$C$3:$C$146,12),0)</f>
        <v>0.906501400393302</v>
      </c>
    </row>
    <row r="49" customFormat="false" ht="15" hidden="false" customHeight="false" outlineLevel="0" collapsed="false">
      <c r="A49" s="0" t="s">
        <v>45</v>
      </c>
      <c r="B49" s="0" t="s">
        <v>50</v>
      </c>
      <c r="C49" s="0" t="s">
        <v>55</v>
      </c>
      <c r="D49" s="0" t="s">
        <v>269</v>
      </c>
      <c r="E49" s="0" t="s">
        <v>182</v>
      </c>
      <c r="F49" s="0" t="s">
        <v>193</v>
      </c>
    </row>
    <row r="50" customFormat="false" ht="15" hidden="false" customHeight="false" outlineLevel="0" collapsed="false">
      <c r="A50" s="0" t="s">
        <v>60</v>
      </c>
      <c r="B50" s="0" t="n">
        <f aca="false">SUMIFS(Monthly_Data!$K$3:$K$146,Monthly_Data!$B$3:$B$146,Dashboard!$D$5,Monthly_Data!$E$3:$E$146,A50)</f>
        <v>16911600</v>
      </c>
      <c r="C50" s="0" t="n">
        <f aca="false">SUMIFS(Monthly_Data!$S$3:$S$146,Monthly_Data!$B$3:$B$146,Dashboard!$D$5,Monthly_Data!$E$3:$E$146,A50)</f>
        <v>5676570</v>
      </c>
      <c r="D50" s="95" t="n">
        <f aca="false">IFERROR(C50/B50,0)</f>
        <v>0.335661321223302</v>
      </c>
      <c r="E50" s="95" t="n">
        <f aca="false">IFERROR(SUMIFS(Monthly_Data!$I$3:$I$146,Monthly_Data!$B$3:$B$146,Dashboard!$D$5,Monthly_Data!$E$3:$E$146,A50)/SUMIFS(Monthly_Data!$H$3:$H$146,Monthly_Data!$B$3:$B$146,Dashboard!$D$5,Monthly_Data!$E$3:$E$146,A50),0)</f>
        <v>0.712297285578007</v>
      </c>
      <c r="F50" s="51" t="n">
        <f aca="false">IFERROR(B50/SUMIFS(Monthly_Data!$J$3:$J$146,Monthly_Data!$B$3:$B$146,Dashboard!$D$5,Monthly_Data!$E$3:$E$146,A50),0)</f>
        <v>370.251335493476</v>
      </c>
    </row>
    <row r="51" customFormat="false" ht="15" hidden="false" customHeight="false" outlineLevel="0" collapsed="false">
      <c r="A51" s="0" t="s">
        <v>61</v>
      </c>
      <c r="B51" s="0" t="n">
        <f aca="false">SUMIFS(Monthly_Data!$K$3:$K$146,Monthly_Data!$B$3:$B$146,Dashboard!$D$5,Monthly_Data!$E$3:$E$146,A51)</f>
        <v>12110320</v>
      </c>
      <c r="C51" s="0" t="n">
        <f aca="false">SUMIFS(Monthly_Data!$S$3:$S$146,Monthly_Data!$B$3:$B$146,Dashboard!$D$5,Monthly_Data!$E$3:$E$146,A51)</f>
        <v>3279860</v>
      </c>
      <c r="D51" s="95" t="n">
        <f aca="false">IFERROR(C51/B51,0)</f>
        <v>0.270831819472978</v>
      </c>
      <c r="E51" s="95" t="n">
        <f aca="false">IFERROR(SUMIFS(Monthly_Data!$I$3:$I$146,Monthly_Data!$B$3:$B$146,Dashboard!$D$5,Monthly_Data!$E$3:$E$146,A51)/SUMIFS(Monthly_Data!$H$3:$H$146,Monthly_Data!$B$3:$B$146,Dashboard!$D$5,Monthly_Data!$E$3:$E$146,A51),0)</f>
        <v>0.685816056260846</v>
      </c>
      <c r="F51" s="51" t="n">
        <f aca="false">IFERROR(B51/SUMIFS(Monthly_Data!$J$3:$J$146,Monthly_Data!$B$3:$B$146,Dashboard!$D$5,Monthly_Data!$E$3:$E$146,A51),0)</f>
        <v>349.504184704185</v>
      </c>
    </row>
    <row r="52" customFormat="false" ht="15" hidden="false" customHeight="false" outlineLevel="0" collapsed="false">
      <c r="A52" s="0" t="s">
        <v>62</v>
      </c>
      <c r="B52" s="0" t="n">
        <f aca="false">SUMIFS(Monthly_Data!$K$3:$K$146,Monthly_Data!$B$3:$B$146,Dashboard!$D$5,Monthly_Data!$E$3:$E$146,A52)</f>
        <v>8940620</v>
      </c>
      <c r="C52" s="0" t="n">
        <f aca="false">SUMIFS(Monthly_Data!$S$3:$S$146,Monthly_Data!$B$3:$B$146,Dashboard!$D$5,Monthly_Data!$E$3:$E$146,A52)</f>
        <v>1571200</v>
      </c>
      <c r="D52" s="95" t="n">
        <f aca="false">IFERROR(C52/B52,0)</f>
        <v>0.175737253121148</v>
      </c>
      <c r="E52" s="95" t="n">
        <f aca="false">IFERROR(SUMIFS(Monthly_Data!$I$3:$I$146,Monthly_Data!$B$3:$B$146,Dashboard!$D$5,Monthly_Data!$E$3:$E$146,A52)/SUMIFS(Monthly_Data!$H$3:$H$146,Monthly_Data!$B$3:$B$146,Dashboard!$D$5,Monthly_Data!$E$3:$E$146,A52),0)</f>
        <v>0.66356494706772</v>
      </c>
      <c r="F52" s="51" t="n">
        <f aca="false">IFERROR(B52/SUMIFS(Monthly_Data!$J$3:$J$146,Monthly_Data!$B$3:$B$146,Dashboard!$D$5,Monthly_Data!$E$3:$E$146,A52),0)</f>
        <v>313.805061247411</v>
      </c>
    </row>
    <row r="53" customFormat="false" ht="15" hidden="false" customHeight="false" outlineLevel="0" collapsed="false">
      <c r="A53" s="0" t="s">
        <v>63</v>
      </c>
      <c r="B53" s="0" t="n">
        <f aca="false">SUMIFS(Monthly_Data!$K$3:$K$146,Monthly_Data!$B$3:$B$146,Dashboard!$D$5,Monthly_Data!$E$3:$E$146,A53)</f>
        <v>17827750</v>
      </c>
      <c r="C53" s="0" t="n">
        <f aca="false">SUMIFS(Monthly_Data!$S$3:$S$146,Monthly_Data!$B$3:$B$146,Dashboard!$D$5,Monthly_Data!$E$3:$E$146,A53)</f>
        <v>5434650</v>
      </c>
      <c r="D53" s="95" t="n">
        <f aca="false">IFERROR(C53/B53,0)</f>
        <v>0.304842170212169</v>
      </c>
      <c r="E53" s="95" t="n">
        <f aca="false">IFERROR(SUMIFS(Monthly_Data!$I$3:$I$146,Monthly_Data!$B$3:$B$146,Dashboard!$D$5,Monthly_Data!$E$3:$E$146,A53)/SUMIFS(Monthly_Data!$H$3:$H$146,Monthly_Data!$B$3:$B$146,Dashboard!$D$5,Monthly_Data!$E$3:$E$146,A53),0)</f>
        <v>0.714377272608366</v>
      </c>
      <c r="F53" s="51" t="n">
        <f aca="false">IFERROR(B53/SUMIFS(Monthly_Data!$J$3:$J$146,Monthly_Data!$B$3:$B$146,Dashboard!$D$5,Monthly_Data!$E$3:$E$146,A53),0)</f>
        <v>364.926411888727</v>
      </c>
    </row>
    <row r="54" customFormat="false" ht="15" hidden="false" customHeight="false" outlineLevel="0" collapsed="false">
      <c r="A54" s="0" t="s">
        <v>64</v>
      </c>
      <c r="B54" s="0" t="n">
        <f aca="false">SUMIFS(Monthly_Data!$K$3:$K$146,Monthly_Data!$B$3:$B$146,Dashboard!$D$5,Monthly_Data!$E$3:$E$146,A54)</f>
        <v>8324150</v>
      </c>
      <c r="C54" s="0" t="n">
        <f aca="false">SUMIFS(Monthly_Data!$S$3:$S$146,Monthly_Data!$B$3:$B$146,Dashboard!$D$5,Monthly_Data!$E$3:$E$146,A54)</f>
        <v>2013360</v>
      </c>
      <c r="D54" s="95" t="n">
        <f aca="false">IFERROR(C54/B54,0)</f>
        <v>0.24186974045398</v>
      </c>
      <c r="E54" s="95" t="n">
        <f aca="false">IFERROR(SUMIFS(Monthly_Data!$I$3:$I$146,Monthly_Data!$B$3:$B$146,Dashboard!$D$5,Monthly_Data!$E$3:$E$146,A54)/SUMIFS(Monthly_Data!$H$3:$H$146,Monthly_Data!$B$3:$B$146,Dashboard!$D$5,Monthly_Data!$E$3:$E$146,A54),0)</f>
        <v>0.645343484859795</v>
      </c>
      <c r="F54" s="51" t="n">
        <f aca="false">IFERROR(B54/SUMIFS(Monthly_Data!$J$3:$J$146,Monthly_Data!$B$3:$B$146,Dashboard!$D$5,Monthly_Data!$E$3:$E$146,A54),0)</f>
        <v>343.079998351399</v>
      </c>
    </row>
    <row r="55" customFormat="false" ht="15" hidden="false" customHeight="false" outlineLevel="0" collapsed="false">
      <c r="A55" s="0" t="s">
        <v>65</v>
      </c>
      <c r="B55" s="0" t="n">
        <f aca="false">SUMIFS(Monthly_Data!$K$3:$K$146,Monthly_Data!$B$3:$B$146,Dashboard!$D$5,Monthly_Data!$E$3:$E$146,A55)</f>
        <v>4161180</v>
      </c>
      <c r="C55" s="0" t="n">
        <f aca="false">SUMIFS(Monthly_Data!$S$3:$S$146,Monthly_Data!$B$3:$B$146,Dashboard!$D$5,Monthly_Data!$E$3:$E$146,A55)</f>
        <v>399450</v>
      </c>
      <c r="D55" s="95" t="n">
        <f aca="false">IFERROR(C55/B55,0)</f>
        <v>0.0959944054330743</v>
      </c>
      <c r="E55" s="95" t="n">
        <f aca="false">IFERROR(SUMIFS(Monthly_Data!$I$3:$I$146,Monthly_Data!$B$3:$B$146,Dashboard!$D$5,Monthly_Data!$E$3:$E$146,A55)/SUMIFS(Monthly_Data!$H$3:$H$146,Monthly_Data!$B$3:$B$146,Dashboard!$D$5,Monthly_Data!$E$3:$E$146,A55),0)</f>
        <v>0.613561579442181</v>
      </c>
      <c r="F55" s="51" t="n">
        <f aca="false">IFERROR(B55/SUMIFS(Monthly_Data!$J$3:$J$146,Monthly_Data!$B$3:$B$146,Dashboard!$D$5,Monthly_Data!$E$3:$E$146,A55),0)</f>
        <v>305.901639344262</v>
      </c>
    </row>
    <row r="59" customFormat="false" ht="15" hidden="false" customHeight="false" outlineLevel="0" collapsed="false">
      <c r="A59" s="0" t="s">
        <v>270</v>
      </c>
      <c r="B59" s="0" t="s">
        <v>86</v>
      </c>
    </row>
    <row r="60" customFormat="false" ht="15" hidden="false" customHeight="false" outlineLevel="0" collapsed="false">
      <c r="A60" s="0" t="s">
        <v>271</v>
      </c>
      <c r="B60" s="0" t="n">
        <f aca="false">B19</f>
        <v>34887000</v>
      </c>
    </row>
    <row r="61" customFormat="false" ht="15" hidden="false" customHeight="false" outlineLevel="0" collapsed="false">
      <c r="A61" s="0" t="s">
        <v>272</v>
      </c>
      <c r="B61" s="0" t="n">
        <f aca="false">B20</f>
        <v>15013530</v>
      </c>
    </row>
    <row r="62" customFormat="false" ht="15" hidden="false" customHeight="false" outlineLevel="0" collapsed="false">
      <c r="A62" s="0" t="s">
        <v>55</v>
      </c>
      <c r="B62" s="0" t="n">
        <f aca="false">B7</f>
        <v>18375090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2026-10-08T04:05:24Z</dcterms:created>
  <dc:creator/>
  <dc:description/>
  <dc:language>en-US</dc:language>
  <cp:lastModifiedBy/>
  <dcterms:modified xsi:type="dcterms:W3CDTF">2026-10-08T04:05:26Z</dcterms:modified>
  <cp:revision>1</cp:revision>
  <dc:subject/>
  <dc:title>Controlling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